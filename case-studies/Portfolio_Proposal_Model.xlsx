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llocation" sheetId="2" state="visible" r:id="rId4"/>
    <sheet name="Prices" sheetId="3" state="visible" r:id="rId5"/>
    <sheet name="Returns" sheetId="4" state="visible" r:id="rId6"/>
    <sheet name="AssetStats" sheetId="5" state="visible" r:id="rId7"/>
    <sheet name="Correlation" sheetId="6" state="visible" r:id="rId8"/>
    <sheet name="Covariance" sheetId="7" state="visible" r:id="rId9"/>
    <sheet name="PortfolioRisk" sheetId="8" state="visible" r:id="rId10"/>
    <sheet name="Backtest" sheetId="9" state="visible" r:id="rId11"/>
    <sheet name="VaR" sheetId="10" state="visible" r:id="rId12"/>
    <sheet name="Scenarios" sheetId="11" state="visible" r:id="rId13"/>
    <sheet name="Projection" sheetId="12" state="visible" r:id="rId14"/>
    <sheet name="Checks" sheetId="13" state="visible" r:id="rId15"/>
    <sheet name="Source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<sst xmlns="http://schemas.openxmlformats.org/spreadsheetml/2006/main" count="506" uniqueCount="354">
  <si>
    <t xml:space="preserve">Investment Portfolio Proposal: Model Workbook</t>
  </si>
  <si>
    <t xml:space="preserve">Fictional private-banking client, USD 500,000, moderate risk profile, 10-year horizon. Prepared by Yamen Agha.</t>
  </si>
  <si>
    <t xml:space="preserve">Prices to 2026-10-12 (latest daily close available); statistics on 120 monthly returns, Oct 2016 to Sep 2026.</t>
  </si>
  <si>
    <t xml:space="preserve">Sheet guide</t>
  </si>
  <si>
    <t xml:space="preserve">Allocation</t>
  </si>
  <si>
    <t xml:space="preserve">Weights (yellow cells are inputs), USD amounts, costs, income, class totals, checks</t>
  </si>
  <si>
    <t xml:space="preserve">Prices</t>
  </si>
  <si>
    <t xml:space="preserve">Month-end adjusted closes (total return) and 3-month Treasury yield</t>
  </si>
  <si>
    <t xml:space="preserve">Returns</t>
  </si>
  <si>
    <t xml:space="preserve">Monthly returns computed by formula from Prices</t>
  </si>
  <si>
    <t xml:space="preserve">AssetStats</t>
  </si>
  <si>
    <t xml:space="preserve">Annualised mean, CAGR, volatility, Sharpe by formula</t>
  </si>
  <si>
    <t xml:space="preserve">Correlation / Covariance</t>
  </si>
  <si>
    <t xml:space="preserve">CORREL and COVARIANCE.S matrices by formula</t>
  </si>
  <si>
    <t xml:space="preserve">PortfolioRisk</t>
  </si>
  <si>
    <t xml:space="preserve">Capital market assumptions, portfolio expected return, volatility, risk contributions, parametric VaR</t>
  </si>
  <si>
    <t xml:space="preserve">Backtest</t>
  </si>
  <si>
    <t xml:space="preserve">Monthly backtest returns from the Python engine; wealth, drawdown, statistics and calendar years by formula</t>
  </si>
  <si>
    <t xml:space="preserve">VaR</t>
  </si>
  <si>
    <t xml:space="preserve">Historical and parametric VaR / CVaR by formula (daily and monthly)</t>
  </si>
  <si>
    <t xml:space="preserve">Scenarios</t>
  </si>
  <si>
    <t xml:space="preserve">Hypothetical shock matrix (inputs) and portfolio impact by formula</t>
  </si>
  <si>
    <t xml:space="preserve">Projection</t>
  </si>
  <si>
    <t xml:space="preserve">Deterministic 10-year projection with withdrawals, by formula</t>
  </si>
  <si>
    <t xml:space="preserve">Checks</t>
  </si>
  <si>
    <t xml:space="preserve">Excel results versus the Python results; PASS when they agree</t>
  </si>
  <si>
    <t xml:space="preserve">Sources</t>
  </si>
  <si>
    <t xml:space="preserve">Data sources and as-of dates</t>
  </si>
  <si>
    <t xml:space="preserve">Strategic asset allocation</t>
  </si>
  <si>
    <t xml:space="preserve">Investment (USD)</t>
  </si>
  <si>
    <t xml:space="preserve">Assumed US withholding tax on dividends (non-treaty)</t>
  </si>
  <si>
    <t xml:space="preserve">Ticker</t>
  </si>
  <si>
    <t xml:space="preserve">Fund role</t>
  </si>
  <si>
    <t xml:space="preserve">Asset class</t>
  </si>
  <si>
    <t xml:space="preserve">Target weight</t>
  </si>
  <si>
    <t xml:space="preserve">USD amount</t>
  </si>
  <si>
    <t xml:space="preserve">Expense ratio</t>
  </si>
  <si>
    <t xml:space="preserve">Annual fund cost (USD)</t>
  </si>
  <si>
    <t xml:space="preserve">Distribution yield (trailing)</t>
  </si>
  <si>
    <t xml:space="preserve">Expected income (USD, gross)</t>
  </si>
  <si>
    <t xml:space="preserve">Last price</t>
  </si>
  <si>
    <t xml:space="preserve">Shares (rounded down)</t>
  </si>
  <si>
    <t xml:space="preserve">Cash residual (USD)</t>
  </si>
  <si>
    <t xml:space="preserve">30% withholding assumed? (1=yes)</t>
  </si>
  <si>
    <t xml:space="preserve">VTI</t>
  </si>
  <si>
    <t xml:space="preserve">US total stock market</t>
  </si>
  <si>
    <t xml:space="preserve">Equity</t>
  </si>
  <si>
    <t xml:space="preserve">VEA</t>
  </si>
  <si>
    <t xml:space="preserve">Developed ex-US equity</t>
  </si>
  <si>
    <t xml:space="preserve">VWO</t>
  </si>
  <si>
    <t xml:space="preserve">Emerging markets equity</t>
  </si>
  <si>
    <t xml:space="preserve">KSA</t>
  </si>
  <si>
    <t xml:space="preserve">Saudi Arabia equity</t>
  </si>
  <si>
    <t xml:space="preserve">UAE</t>
  </si>
  <si>
    <t xml:space="preserve">UAE equity</t>
  </si>
  <si>
    <t xml:space="preserve">VNQ</t>
  </si>
  <si>
    <t xml:space="preserve">US REITs</t>
  </si>
  <si>
    <t xml:space="preserve">Real assets</t>
  </si>
  <si>
    <t xml:space="preserve">BND</t>
  </si>
  <si>
    <t xml:space="preserve">US aggregate bonds</t>
  </si>
  <si>
    <t xml:space="preserve">Fixed income</t>
  </si>
  <si>
    <t xml:space="preserve">SCHP</t>
  </si>
  <si>
    <t xml:space="preserve">US TIPS</t>
  </si>
  <si>
    <t xml:space="preserve">IAU</t>
  </si>
  <si>
    <t xml:space="preserve">Gold</t>
  </si>
  <si>
    <t xml:space="preserve">BIL</t>
  </si>
  <si>
    <t xml:space="preserve">1-3 month T-bills</t>
  </si>
  <si>
    <t xml:space="preserve">Cash</t>
  </si>
  <si>
    <t xml:space="preserve">Total</t>
  </si>
  <si>
    <t xml:space="preserve">Asset class totals</t>
  </si>
  <si>
    <t xml:space="preserve">Gulf equity (KSA + UAE)</t>
  </si>
  <si>
    <t xml:space="preserve">Withholding-tax drag, base case: equity and REIT funds only (% of portfolio)</t>
  </si>
  <si>
    <t xml:space="preserve">Upper bound (all distributions withheld):</t>
  </si>
  <si>
    <t xml:space="preserve">Check: weights sum to 100%</t>
  </si>
  <si>
    <t xml:space="preserve">Check: equity within 40%-60% policy range</t>
  </si>
  <si>
    <t xml:space="preserve">Check: Gulf equity at or below 6%</t>
  </si>
  <si>
    <t xml:space="preserve">Month end</t>
  </si>
  <si>
    <t xml:space="preserve">SPY</t>
  </si>
  <si>
    <t xml:space="preserve">AGG</t>
  </si>
  <si>
    <t xml:space="preserve">AOR</t>
  </si>
  <si>
    <t xml:space="preserve">3M T-bill yield (%)</t>
  </si>
  <si>
    <t xml:space="preserve">Risk-free (monthly)</t>
  </si>
  <si>
    <t xml:space="preserve">Asset statistics, monthly returns Oct 2016 to Sep 2026 (annualised)</t>
  </si>
  <si>
    <t xml:space="preserve">Name</t>
  </si>
  <si>
    <t xml:space="preserve">Mean return (arith.)</t>
  </si>
  <si>
    <t xml:space="preserve">CAGR</t>
  </si>
  <si>
    <t xml:space="preserve">Volatility</t>
  </si>
  <si>
    <t xml:space="preserve">Sharpe ratio</t>
  </si>
  <si>
    <t xml:space="preserve">Months</t>
  </si>
  <si>
    <t xml:space="preserve">S&amp;P 500</t>
  </si>
  <si>
    <t xml:space="preserve">US aggregate bonds (iShares)</t>
  </si>
  <si>
    <t xml:space="preserve">Global 60/40 allocation fund</t>
  </si>
  <si>
    <t xml:space="preserve">Average risk-free (annualised)</t>
  </si>
  <si>
    <t xml:space="preserve">Correlation matrix of monthly returns</t>
  </si>
  <si>
    <t xml:space="preserve">Covariance matrix of monthly returns (annualised)</t>
  </si>
  <si>
    <t xml:space="preserve">Portfolio expected return, volatility and risk contributions</t>
  </si>
  <si>
    <t xml:space="preserve">Market inputs (as of curve date)</t>
  </si>
  <si>
    <t xml:space="preserve">3-month Treasury yield</t>
  </si>
  <si>
    <t xml:space="preserve">US Treasury par curves 2026-10-13; breakeven FRED T10YIE 2026-10-13</t>
  </si>
  <si>
    <t xml:space="preserve">5-year Treasury yield</t>
  </si>
  <si>
    <t xml:space="preserve">5-year TIPS real yield</t>
  </si>
  <si>
    <t xml:space="preserve">10-year breakeven inflation</t>
  </si>
  <si>
    <t xml:space="preserve">Spread allowance, aggregate bonds</t>
  </si>
  <si>
    <t xml:space="preserve">Gold premium over inflation</t>
  </si>
  <si>
    <t xml:space="preserve">Weight</t>
  </si>
  <si>
    <t xml:space="preserve">Hist. mean</t>
  </si>
  <si>
    <t xml:space="preserve">Equity risk premium (input)</t>
  </si>
  <si>
    <t xml:space="preserve">Forward return (CMA)</t>
  </si>
  <si>
    <t xml:space="preserve">Marginal (Cov x w)</t>
  </si>
  <si>
    <t xml:space="preserve">Risk contribution</t>
  </si>
  <si>
    <t xml:space="preserve">Weights (row)</t>
  </si>
  <si>
    <t xml:space="preserve">Weights (transposed)</t>
  </si>
  <si>
    <t xml:space="preserve">Expected return, historical means</t>
  </si>
  <si>
    <t xml:space="preserve">Expected return, forward CMA</t>
  </si>
  <si>
    <t xml:space="preserve">Portfolio variance</t>
  </si>
  <si>
    <t xml:space="preserve">Portfolio volatility</t>
  </si>
  <si>
    <t xml:space="preserve">Sharpe (historical means, avg risk-free)</t>
  </si>
  <si>
    <t xml:space="preserve">Sharpe (forward CMA vs 3M yield)</t>
  </si>
  <si>
    <t xml:space="preserve">Growth assets share of risk (equity + REIT)</t>
  </si>
  <si>
    <t xml:space="preserve">1-year parametric VaR 95% (CMA), % of portfolio</t>
  </si>
  <si>
    <t xml:space="preserve">1-year parametric VaR 95% (CMA), USD</t>
  </si>
  <si>
    <t xml:space="preserve">1-year parametric CVaR 95% (CMA), % of portfolio</t>
  </si>
  <si>
    <t xml:space="preserve">Backtest: monthly returns from the Python engine (daily simulation, rebalancing rules, 5 bp trading cost); everything else by formula</t>
  </si>
  <si>
    <t xml:space="preserve">Risk-free</t>
  </si>
  <si>
    <t xml:space="preserve">Proposed return</t>
  </si>
  <si>
    <t xml:space="preserve">60/40 (SPY/AGG) return</t>
  </si>
  <si>
    <t xml:space="preserve">Benchmark (AOR) return</t>
  </si>
  <si>
    <t xml:space="preserve">Proposed wealth</t>
  </si>
  <si>
    <t xml:space="preserve">60/40 (SPY/AGG) wealth</t>
  </si>
  <si>
    <t xml:space="preserve">Benchmark (AOR) wealth</t>
  </si>
  <si>
    <t xml:space="preserve">Proposed peak</t>
  </si>
  <si>
    <t xml:space="preserve">60/40 (SPY/AGG) peak</t>
  </si>
  <si>
    <t xml:space="preserve">Benchmark (AOR) peak</t>
  </si>
  <si>
    <t xml:space="preserve">Proposed drawdown</t>
  </si>
  <si>
    <t xml:space="preserve">60/40 (SPY/AGG) drawdown</t>
  </si>
  <si>
    <t xml:space="preserve">Benchmark (AOR) drawdown</t>
  </si>
  <si>
    <t xml:space="preserve">Statistic</t>
  </si>
  <si>
    <t xml:space="preserve">Proposed</t>
  </si>
  <si>
    <t xml:space="preserve">60/40 (SPY/AGG)</t>
  </si>
  <si>
    <t xml:space="preserve">Benchmark (AOR)</t>
  </si>
  <si>
    <t xml:space="preserve">Volatility (annualised)</t>
  </si>
  <si>
    <t xml:space="preserve">Sortino ratio</t>
  </si>
  <si>
    <t xml:space="preserve">Max drawdown (month-end)</t>
  </si>
  <si>
    <t xml:space="preserve">Worst month</t>
  </si>
  <si>
    <t xml:space="preserve">Best month</t>
  </si>
  <si>
    <t xml:space="preserve">Share of positive months</t>
  </si>
  <si>
    <t xml:space="preserve">Ending value, Sep 2026 (USD)</t>
  </si>
  <si>
    <t xml:space="preserve">Calendar-year returns</t>
  </si>
  <si>
    <t xml:space="preserve">Worst calendar year (2017-2025)</t>
  </si>
  <si>
    <t xml:space="preserve">Value at Risk and Conditional VaR, proposed portfolio</t>
  </si>
  <si>
    <t xml:space="preserve">Date</t>
  </si>
  <si>
    <t xml:space="preserve">Daily return (backtest)</t>
  </si>
  <si>
    <t xml:space="preserve">Measure</t>
  </si>
  <si>
    <t xml:space="preserve">95%</t>
  </si>
  <si>
    <t xml:space="preserve">99%</t>
  </si>
  <si>
    <t xml:space="preserve">95% (USD)</t>
  </si>
  <si>
    <t xml:space="preserve">99% (USD)</t>
  </si>
  <si>
    <t xml:space="preserve">Daily historical VaR</t>
  </si>
  <si>
    <t xml:space="preserve">Daily historical CVaR</t>
  </si>
  <si>
    <t xml:space="preserve">Daily parametric VaR</t>
  </si>
  <si>
    <t xml:space="preserve">Monthly historical VaR</t>
  </si>
  <si>
    <t xml:space="preserve">Monthly historical CVaR</t>
  </si>
  <si>
    <t xml:space="preserve">Monthly parametric VaR</t>
  </si>
  <si>
    <t xml:space="preserve">Daily observations</t>
  </si>
  <si>
    <t xml:space="preserve">Hypothetical scenario shocks (assumptions, editable) and portfolio impact</t>
  </si>
  <si>
    <t xml:space="preserve">Global equity bear market</t>
  </si>
  <si>
    <t xml:space="preserve">Rates +150bp (bond sell-off)</t>
  </si>
  <si>
    <t xml:space="preserve">Stagflation, Brent to $150</t>
  </si>
  <si>
    <t xml:space="preserve">Gulf escalation / Hormuz closure</t>
  </si>
  <si>
    <t xml:space="preserve">Recession, Fed cuts 200bp</t>
  </si>
  <si>
    <t xml:space="preserve">US dollar +10%</t>
  </si>
  <si>
    <t xml:space="preserve">Portfolio impact</t>
  </si>
  <si>
    <t xml:space="preserve">Impact (USD)</t>
  </si>
  <si>
    <t xml:space="preserve">Deterministic 10-year projection at the forward expected return (median-type path, not a forecast)</t>
  </si>
  <si>
    <t xml:space="preserve">Expected return (CMA)</t>
  </si>
  <si>
    <t xml:space="preserve">Geometric return approx. (mean - variance/2)</t>
  </si>
  <si>
    <t xml:space="preserve">Advisory and custody fee</t>
  </si>
  <si>
    <t xml:space="preserve">Annual withdrawal, year 1 (USD)</t>
  </si>
  <si>
    <t xml:space="preserve">Inflation indexation</t>
  </si>
  <si>
    <t xml:space="preserve">Year</t>
  </si>
  <si>
    <t xml:space="preserve">Start value</t>
  </si>
  <si>
    <t xml:space="preserve">Growth</t>
  </si>
  <si>
    <t xml:space="preserve">Fee</t>
  </si>
  <si>
    <t xml:space="preserve">Withdrawal</t>
  </si>
  <si>
    <t xml:space="preserve">End value</t>
  </si>
  <si>
    <t xml:space="preserve">End value (real)</t>
  </si>
  <si>
    <t xml:space="preserve">Monte Carlo results (10,000 paths, from Python; static values)</t>
  </si>
  <si>
    <t xml:space="preserve">Percentile / probability</t>
  </si>
  <si>
    <t xml:space="preserve">Forward assumptions</t>
  </si>
  <si>
    <t xml:space="preserve">Historical bootstrap</t>
  </si>
  <si>
    <t xml:space="preserve">5th percentile</t>
  </si>
  <si>
    <t xml:space="preserve">25th percentile</t>
  </si>
  <si>
    <t xml:space="preserve">Median</t>
  </si>
  <si>
    <t xml:space="preserve">75th percentile</t>
  </si>
  <si>
    <t xml:space="preserve">95th percentile</t>
  </si>
  <si>
    <t xml:space="preserve">Median, real (today's USD)</t>
  </si>
  <si>
    <t xml:space="preserve">P(nominal value &gt;= 500k)</t>
  </si>
  <si>
    <t xml:space="preserve">P(real value &gt;= 500k)</t>
  </si>
  <si>
    <t xml:space="preserve">P(value &lt; 400k)</t>
  </si>
  <si>
    <t xml:space="preserve">Reconciliation: Excel formulas versus Python results</t>
  </si>
  <si>
    <t xml:space="preserve">Item</t>
  </si>
  <si>
    <t xml:space="preserve">Excel (live formula)</t>
  </si>
  <si>
    <t xml:space="preserve">Python</t>
  </si>
  <si>
    <t xml:space="preserve">Difference</t>
  </si>
  <si>
    <t xml:space="preserve">Status</t>
  </si>
  <si>
    <t xml:space="preserve">Allocation: weighted expense ratio</t>
  </si>
  <si>
    <t xml:space="preserve">Allocation: weighted distribution yield</t>
  </si>
  <si>
    <t xml:space="preserve">Portfolio volatility (ex-ante, 10y covariance)</t>
  </si>
  <si>
    <t xml:space="preserve">Proposed: CAGR</t>
  </si>
  <si>
    <t xml:space="preserve">Proposed: volatility</t>
  </si>
  <si>
    <t xml:space="preserve">Proposed: Sharpe</t>
  </si>
  <si>
    <t xml:space="preserve">Proposed: Sortino</t>
  </si>
  <si>
    <t xml:space="preserve">Proposed: max drawdown (month-end)</t>
  </si>
  <si>
    <t xml:space="preserve">Proposed: worst calendar year</t>
  </si>
  <si>
    <t xml:space="preserve">60/40 (SPY/AGG): CAGR</t>
  </si>
  <si>
    <t xml:space="preserve">60/40 (SPY/AGG): volatility</t>
  </si>
  <si>
    <t xml:space="preserve">60/40 (SPY/AGG): Sharpe</t>
  </si>
  <si>
    <t xml:space="preserve">60/40 (SPY/AGG): Sortino</t>
  </si>
  <si>
    <t xml:space="preserve">60/40 (SPY/AGG): max drawdown (month-end)</t>
  </si>
  <si>
    <t xml:space="preserve">60/40 (SPY/AGG): worst calendar year</t>
  </si>
  <si>
    <t xml:space="preserve">Benchmark (AOR): CAGR</t>
  </si>
  <si>
    <t xml:space="preserve">Benchmark (AOR): volatility</t>
  </si>
  <si>
    <t xml:space="preserve">Benchmark (AOR): Sharpe</t>
  </si>
  <si>
    <t xml:space="preserve">Benchmark (AOR): Sortino</t>
  </si>
  <si>
    <t xml:space="preserve">Benchmark (AOR): max drawdown (month-end)</t>
  </si>
  <si>
    <t xml:space="preserve">Benchmark (AOR): worst calendar year</t>
  </si>
  <si>
    <t xml:space="preserve">Daily historical VaR 95%</t>
  </si>
  <si>
    <t xml:space="preserve">Daily historical CVaR 95%</t>
  </si>
  <si>
    <t xml:space="preserve">Monthly historical VaR 95%</t>
  </si>
  <si>
    <t xml:space="preserve">Monthly parametric VaR 99%</t>
  </si>
  <si>
    <t xml:space="preserve">1-year parametric VaR 95% (CMA)</t>
  </si>
  <si>
    <t xml:space="preserve">Scenario: Global equity bear market</t>
  </si>
  <si>
    <t xml:space="preserve">Scenario: Rates +150bp (bond sell-off)</t>
  </si>
  <si>
    <t xml:space="preserve">Scenario: Stagflation, Brent to $150</t>
  </si>
  <si>
    <t xml:space="preserve">Scenario: Gulf escalation / Hormuz closure</t>
  </si>
  <si>
    <t xml:space="preserve">Scenario: Recession, Fed cuts 200bp</t>
  </si>
  <si>
    <t xml:space="preserve">Scenario: US dollar +10%</t>
  </si>
  <si>
    <t xml:space="preserve">VTI: volatility</t>
  </si>
  <si>
    <t xml:space="preserve">VTI: CAGR</t>
  </si>
  <si>
    <t xml:space="preserve">VEA: volatility</t>
  </si>
  <si>
    <t xml:space="preserve">VEA: CAGR</t>
  </si>
  <si>
    <t xml:space="preserve">VWO: volatility</t>
  </si>
  <si>
    <t xml:space="preserve">VWO: CAGR</t>
  </si>
  <si>
    <t xml:space="preserve">KSA: volatility</t>
  </si>
  <si>
    <t xml:space="preserve">KSA: CAGR</t>
  </si>
  <si>
    <t xml:space="preserve">UAE: volatility</t>
  </si>
  <si>
    <t xml:space="preserve">UAE: CAGR</t>
  </si>
  <si>
    <t xml:space="preserve">VNQ: volatility</t>
  </si>
  <si>
    <t xml:space="preserve">VNQ: CAGR</t>
  </si>
  <si>
    <t xml:space="preserve">BND: volatility</t>
  </si>
  <si>
    <t xml:space="preserve">BND: CAGR</t>
  </si>
  <si>
    <t xml:space="preserve">SCHP: volatility</t>
  </si>
  <si>
    <t xml:space="preserve">SCHP: CAGR</t>
  </si>
  <si>
    <t xml:space="preserve">IAU: volatility</t>
  </si>
  <si>
    <t xml:space="preserve">IAU: CAGR</t>
  </si>
  <si>
    <t xml:space="preserve">BIL: volatility</t>
  </si>
  <si>
    <t xml:space="preserve">BIL: CAGR</t>
  </si>
  <si>
    <t xml:space="preserve">Correlation VTI-BND</t>
  </si>
  <si>
    <t xml:space="preserve">Correlation VTI-IAU</t>
  </si>
  <si>
    <t xml:space="preserve">Number of checks passing</t>
  </si>
  <si>
    <t xml:space="preserve">id</t>
  </si>
  <si>
    <t xml:space="preserve">item</t>
  </si>
  <si>
    <t xml:space="preserve">value_used</t>
  </si>
  <si>
    <t xml:space="preserve">as_of</t>
  </si>
  <si>
    <t xml:space="preserve">source</t>
  </si>
  <si>
    <t xml:space="preserve">url</t>
  </si>
  <si>
    <t xml:space="preserve">retrieved</t>
  </si>
  <si>
    <t xml:space="preserve">S1</t>
  </si>
  <si>
    <t xml:space="preserve">Daily adjusted ETF closes (dividends reinvested) for VTI VEA VWO KSA UAE VNQ BND SCHP IAU BIL SPY AGG AOR SPUS HLAL SPSK</t>
  </si>
  <si>
    <t xml:space="preserve">see prices_adjusted_daily.csv</t>
  </si>
  <si>
    <t xml:space="preserve">2026-10-12 (latest close available from the feed at retrieval; 13 Oct ETF bars not yet published)</t>
  </si>
  <si>
    <t xml:space="preserve">Yahoo Finance via yfinance 1.7.0</t>
  </si>
  <si>
    <t xml:space="preserve">https://finance.yahoo.com</t>
  </si>
  <si>
    <t xml:space="preserve">2026-10-14</t>
  </si>
  <si>
    <t xml:space="preserve">S2</t>
  </si>
  <si>
    <t xml:space="preserve">US Treasury daily par yield curve (nominal)</t>
  </si>
  <si>
    <t xml:space="preserve">3M 4.26%; 2Y 4.79%; 5Y 5.00%; 10Y 5.21%; 30Y 5.56%</t>
  </si>
  <si>
    <t xml:space="preserve">2026-10-13</t>
  </si>
  <si>
    <t xml:space="preserve">US Department of the Treasury</t>
  </si>
  <si>
    <t xml:space="preserve">https://home.treasury.gov/resource-center/data-chart-center/interest-rates/daily-treasury-rates.csv/2026/all?type=daily_treasury_yield_curve</t>
  </si>
  <si>
    <t xml:space="preserve">S3</t>
  </si>
  <si>
    <t xml:space="preserve">US Treasury daily real (TIPS) par yield curve</t>
  </si>
  <si>
    <t xml:space="preserve">5Y 2.67%; 10Y 2.88%</t>
  </si>
  <si>
    <t xml:space="preserve">https://home.treasury.gov/resource-center/data-chart-center/interest-rates/daily-treasury-rates.csv/2026/all?type=daily_treasury_real_yield_curve</t>
  </si>
  <si>
    <t xml:space="preserve">S4</t>
  </si>
  <si>
    <t xml:space="preserve">FRED series (DGS3MO DGS2 DGS10 DGS30 DFII10 T10YIE DFF DFEDTARU DFEDTARL CPIAUCSL CPILFESL UNRATE DTWEXBGS DCOILBRENTEU BAMLC0A0CM BAMLH0A0HYM2)</t>
  </si>
  <si>
    <t xml:space="preserve">see fred_series.csv and data_asof.json</t>
  </si>
  <si>
    <t xml:space="preserve">various (daily series to 2026-10-09/13; CPI Aug-2026; unemployment Sep-2026)</t>
  </si>
  <si>
    <t xml:space="preserve">Federal Reserve Bank of St. Louis (FRED)</t>
  </si>
  <si>
    <t xml:space="preserve">https://fred.stlouisfed.org</t>
  </si>
  <si>
    <t xml:space="preserve">S5</t>
  </si>
  <si>
    <t xml:space="preserve">FOMC decision: target range raised 25bp to 3.75%-4.00% (12-0 vote); SEP median PCE inflation 3.7% (2026) and 2.3% (2027); GDP 2.3% (2026)</t>
  </si>
  <si>
    <t xml:space="preserve">3.75%-4.00%</t>
  </si>
  <si>
    <t xml:space="preserve">2026-09-16</t>
  </si>
  <si>
    <t xml:space="preserve">Federal Reserve Board: FOMC statement and Chair's press conference transcript</t>
  </si>
  <si>
    <t xml:space="preserve">https://www.federalreserve.gov/monetarypolicy/files/monetary20260916a1.pdf</t>
  </si>
  <si>
    <t xml:space="preserve">S6</t>
  </si>
  <si>
    <t xml:space="preserve">US CPI August 2026: headline +3.4% y/y; core +2.4% y/y; energy +16.3% y/y; next release (September CPI) 14 Oct 2026 08:30 ET</t>
  </si>
  <si>
    <t xml:space="preserve">3.4% / 2.4%</t>
  </si>
  <si>
    <t xml:space="preserve">2026-09-11</t>
  </si>
  <si>
    <t xml:space="preserve">US Bureau of Labor Statistics CPI news release</t>
  </si>
  <si>
    <t xml:space="preserve">https://www.bls.gov/news.release/archives/cpi_09112026.htm</t>
  </si>
  <si>
    <t xml:space="preserve">S7</t>
  </si>
  <si>
    <t xml:space="preserve">Brent futures settle $105.69 (13 Oct) after $106.65 on 12 Oct (highest since 15 Sep); WTI $94.14; Houthi attacks on Saudi Arabia and US-Russia diesel arrangement</t>
  </si>
  <si>
    <t xml:space="preserve">Brent $105.69</t>
  </si>
  <si>
    <t xml:space="preserve">Reuters (via financialnewsletter.com) and Economic Times</t>
  </si>
  <si>
    <t xml:space="preserve">https://economictimes.indiatimes.com/markets/commodities/news/oil-price-today-october-13-crude-oil-falls-to-105-as-traders-assess-russian-supply-mideast-attacks-whats-next/articleshow/134906049.cms</t>
  </si>
  <si>
    <t xml:space="preserve">S8</t>
  </si>
  <si>
    <t xml:space="preserve">US equity close: S&amp;P 500 7805.45 (-0.02%); Dow 51670.10; Nasdaq 27204.38; 10Y 5.21%; VIX 15.27; dollar index futures 102.05</t>
  </si>
  <si>
    <t xml:space="preserve">S&amp;P 500 7805.45</t>
  </si>
  <si>
    <t xml:space="preserve">Associated Press market report; Dow Jones / Morningstar Data Talk</t>
  </si>
  <si>
    <t xml:space="preserve">https://apnews.com/article/stocks-markets-us-tech-oil-mideast-a2edaf9ec297fb75ff2a4e245063ec08</t>
  </si>
  <si>
    <t xml:space="preserve">S9</t>
  </si>
  <si>
    <t xml:space="preserve">10Y Treasury 5.216% (Tradeweb 3pm); 52-week high 5.310% on 5 Oct 2026; +1.06pp year to date</t>
  </si>
  <si>
    <t xml:space="preserve">5.216%</t>
  </si>
  <si>
    <t xml:space="preserve">Dow Jones Newswires via Morningstar</t>
  </si>
  <si>
    <t xml:space="preserve">https://www.morningstar.com/news/dow-jones/202610137666/10-year-treasury-yield-falls-to-5216-data-talk</t>
  </si>
  <si>
    <t xml:space="preserve">S10</t>
  </si>
  <si>
    <t xml:space="preserve">Gold: record about $5590/oz intraday on 28 Jan 2026; about 25% below record in mid-October; COMEX front-month about $4180 on 13 Oct (Yahoo GC=F; see data_asof.json)</t>
  </si>
  <si>
    <t xml:space="preserve">about $4180</t>
  </si>
  <si>
    <t xml:space="preserve">Yahoo Finance (GC=F) and metalcharts.org summary</t>
  </si>
  <si>
    <t xml:space="preserve">https://finance.yahoo.com/quote/GC=F</t>
  </si>
  <si>
    <t xml:space="preserve">S11</t>
  </si>
  <si>
    <t xml:space="preserve">IMF World Economic Outlook October 2026: world growth 3.1% (2026) and 3.4% (2027); global headline inflation 4.7% (2026) and 4.1% (2027); Middle East and Central Asia -0.3% in 2026; oil price assumption $95.74 (2026)</t>
  </si>
  <si>
    <t xml:space="preserve">3.1% / 3.4%</t>
  </si>
  <si>
    <t xml:space="preserve">IMF WEO October 2026 (via AP and CNBC coverage)</t>
  </si>
  <si>
    <t xml:space="preserve">https://www.cnbc.com/2026/10/12/imf-world-bank-annual-meetings-october-bangkok-asia-.html</t>
  </si>
  <si>
    <t xml:space="preserve">S12</t>
  </si>
  <si>
    <t xml:space="preserve">Gulf markets: Tadawul All Share Index closed 10360.74 after Riyadh airport attack; index had erased its 2026 gains; US-Israeli war with Iran in its eighth month</t>
  </si>
  <si>
    <t xml:space="preserve">TASI 10360.74</t>
  </si>
  <si>
    <t xml:space="preserve">2026-10-11</t>
  </si>
  <si>
    <t xml:space="preserve">Reuters via Zawya; 60 Arabia</t>
  </si>
  <si>
    <t xml:space="preserve">https://www.zawya.com/en/capital-markets/mideast-stocks-gulf-bourses-subdued-as-saudi-houthi-hostilities-escalate-1535755</t>
  </si>
  <si>
    <t xml:space="preserve">S13</t>
  </si>
  <si>
    <t xml:space="preserve">ETF expense ratios dividend yields and AUM</t>
  </si>
  <si>
    <t xml:space="preserve">see fund_facts.csv</t>
  </si>
  <si>
    <t xml:space="preserve">stockanalysis.com ETF pages cross-checked with Yahoo Finance fund profile (netExpenseRatio)</t>
  </si>
  <si>
    <t xml:space="preserve">https://stockanalysis.com/etf/</t>
  </si>
  <si>
    <t xml:space="preserve">S14</t>
  </si>
  <si>
    <t xml:space="preserve">UCITS (Irish-domiciled) alternatives and TERs</t>
  </si>
  <si>
    <t xml:space="preserve">see ucits_alternatives.csv</t>
  </si>
  <si>
    <t xml:space="preserve">justETF fund profiles</t>
  </si>
  <si>
    <t xml:space="preserve">https://www.justetf.com</t>
  </si>
  <si>
    <t xml:space="preserve">S15</t>
  </si>
  <si>
    <t xml:space="preserve">US estate tax for non-resident non-citizens: US-situs assets include stock of US corporations; Form 706-NA filing threshold $60000 (not indexed)</t>
  </si>
  <si>
    <t xml:space="preserve">$60000</t>
  </si>
  <si>
    <t xml:space="preserve">2025-09 (form instructions)</t>
  </si>
  <si>
    <t xml:space="preserve">Internal Revenue Service</t>
  </si>
  <si>
    <t xml:space="preserve">https://www.irs.gov/businesses/small-businesses-self-employed/frequently-asked-questions-on-estate-taxes-for-nonresidents-not-citizens-of-the-united-states</t>
  </si>
  <si>
    <t xml:space="preserve">S16</t>
  </si>
  <si>
    <t xml:space="preserve">US income tax treaty list (no treaty with UAE or Saudi Arabia; statutory 30% withholding on US-source dividends applies to non-treaty residents)</t>
  </si>
  <si>
    <t xml:space="preserve">nan</t>
  </si>
  <si>
    <t xml:space="preserve">2025-09-26 (Table 3)</t>
  </si>
  <si>
    <t xml:space="preserve">https://www.irs.gov/businesses/international-businesses/united-states-income-tax-treaties-a-to-z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</si>
</sst>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%"/>
    <numFmt numFmtId="167" formatCode="0.00%"/>
    <numFmt numFmtId="168" formatCode="0.00"/>
    <numFmt numFmtId="169" formatCode="#,##0.00"/>
    <numFmt numFmtId="170" formatCode="0.000%"/>
    <numFmt numFmtId="171" formatCode="yyyy\-mm\-dd"/>
    <numFmt numFmtId="172" formatCode="0.0000"/>
    <numFmt numFmtId="173" formatCode="0.0000%"/>
    <numFmt numFmtId="174" formatCode="0.00000"/>
    <numFmt numFmtId="175" formatCode="0.000000"/>
    <numFmt numFmtId="176" formatCode="0.0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E0"/>
        <bgColor rgb="FFFFFFFF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  <c r="B6" s="0" t="s">
        <v>5</v>
      </c>
    </row>
    <row r="7" customFormat="false" ht="15" hidden="false" customHeight="false" outlineLevel="0" collapsed="false">
      <c r="A7" s="2" t="s">
        <v>6</v>
      </c>
      <c r="B7" s="0" t="s">
        <v>7</v>
      </c>
    </row>
    <row r="8" customFormat="false" ht="15" hidden="false" customHeight="false" outlineLevel="0" collapsed="false">
      <c r="A8" s="2" t="s">
        <v>8</v>
      </c>
      <c r="B8" s="0" t="s">
        <v>9</v>
      </c>
    </row>
    <row r="9" customFormat="false" ht="15" hidden="false" customHeight="false" outlineLevel="0" collapsed="false">
      <c r="A9" s="2" t="s">
        <v>10</v>
      </c>
      <c r="B9" s="0" t="s">
        <v>11</v>
      </c>
    </row>
    <row r="10" customFormat="false" ht="15" hidden="false" customHeight="false" outlineLevel="0" collapsed="false">
      <c r="A10" s="2" t="s">
        <v>12</v>
      </c>
      <c r="B10" s="0" t="s">
        <v>13</v>
      </c>
    </row>
    <row r="11" customFormat="false" ht="15" hidden="false" customHeight="false" outlineLevel="0" collapsed="false">
      <c r="A11" s="2" t="s">
        <v>14</v>
      </c>
      <c r="B11" s="0" t="s">
        <v>15</v>
      </c>
    </row>
    <row r="12" customFormat="false" ht="15" hidden="false" customHeight="false" outlineLevel="0" collapsed="false">
      <c r="A12" s="2" t="s">
        <v>16</v>
      </c>
      <c r="B12" s="0" t="s">
        <v>17</v>
      </c>
    </row>
    <row r="13" customFormat="false" ht="15" hidden="false" customHeight="false" outlineLevel="0" collapsed="false">
      <c r="A13" s="2" t="s">
        <v>18</v>
      </c>
      <c r="B13" s="0" t="s">
        <v>19</v>
      </c>
    </row>
    <row r="14" customFormat="false" ht="15" hidden="false" customHeight="false" outlineLevel="0" collapsed="false">
      <c r="A14" s="2" t="s">
        <v>20</v>
      </c>
      <c r="B14" s="0" t="s">
        <v>21</v>
      </c>
    </row>
    <row r="15" customFormat="false" ht="15" hidden="false" customHeight="false" outlineLevel="0" collapsed="false">
      <c r="A15" s="2" t="s">
        <v>22</v>
      </c>
      <c r="B15" s="0" t="s">
        <v>23</v>
      </c>
    </row>
    <row r="16" customFormat="false" ht="15" hidden="false" customHeight="false" outlineLevel="0" collapsed="false">
      <c r="A16" s="2" t="s">
        <v>24</v>
      </c>
      <c r="B16" s="0" t="s">
        <v>25</v>
      </c>
    </row>
    <row r="17" customFormat="false" ht="15" hidden="false" customHeight="false" outlineLevel="0" collapsed="false">
      <c r="A17" s="2" t="s">
        <v>26</v>
      </c>
      <c r="B17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3" min="11" style="0" width="12"/>
  </cols>
  <sheetData>
    <row r="1" customFormat="false" ht="16.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0" t="s">
        <v>29</v>
      </c>
      <c r="B2" s="3" t="n">
        <v>500000</v>
      </c>
    </row>
    <row r="3" customFormat="false" ht="15" hidden="false" customHeight="false" outlineLevel="0" collapsed="false">
      <c r="A3" s="0" t="s">
        <v>30</v>
      </c>
      <c r="B3" s="4" t="n">
        <v>0.3</v>
      </c>
    </row>
    <row r="5" customFormat="false" ht="55.2" hidden="false" customHeight="false" outlineLevel="0" collapsed="false">
      <c r="A5" s="5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</row>
    <row r="6" customFormat="false" ht="15" hidden="false" customHeight="false" outlineLevel="0" collapsed="false">
      <c r="A6" s="0" t="s">
        <v>44</v>
      </c>
      <c r="B6" s="0" t="s">
        <v>45</v>
      </c>
      <c r="C6" s="0" t="s">
        <v>46</v>
      </c>
      <c r="D6" s="4" t="n">
        <v>0.25</v>
      </c>
      <c r="E6" s="6" t="n">
        <f aca="false">D6*$B$2</f>
        <v>125000</v>
      </c>
      <c r="F6" s="7" t="n">
        <v>0.0003</v>
      </c>
      <c r="G6" s="6" t="n">
        <f aca="false">E6*F6</f>
        <v>37.5</v>
      </c>
      <c r="H6" s="7" t="n">
        <v>0.0104</v>
      </c>
      <c r="I6" s="6" t="n">
        <f aca="false">E6*H6</f>
        <v>1300</v>
      </c>
      <c r="J6" s="8" t="n">
        <v>381.570007</v>
      </c>
      <c r="K6" s="6" t="n">
        <f aca="false">ROUNDDOWN(E6/J6,0)</f>
        <v>327</v>
      </c>
      <c r="L6" s="9" t="n">
        <f aca="false">E6-K6*J6</f>
        <v>226.607711000004</v>
      </c>
      <c r="M6" s="10" t="n">
        <v>1</v>
      </c>
    </row>
    <row r="7" customFormat="false" ht="15" hidden="false" customHeight="false" outlineLevel="0" collapsed="false">
      <c r="A7" s="0" t="s">
        <v>47</v>
      </c>
      <c r="B7" s="0" t="s">
        <v>48</v>
      </c>
      <c r="C7" s="0" t="s">
        <v>46</v>
      </c>
      <c r="D7" s="4" t="n">
        <v>0.1</v>
      </c>
      <c r="E7" s="6" t="n">
        <f aca="false">D7*$B$2</f>
        <v>50000</v>
      </c>
      <c r="F7" s="7" t="n">
        <v>0.0003</v>
      </c>
      <c r="G7" s="6" t="n">
        <f aca="false">E7*F7</f>
        <v>15</v>
      </c>
      <c r="H7" s="7" t="n">
        <v>0.0243</v>
      </c>
      <c r="I7" s="6" t="n">
        <f aca="false">E7*H7</f>
        <v>1215</v>
      </c>
      <c r="J7" s="8" t="n">
        <v>69.949997</v>
      </c>
      <c r="K7" s="6" t="n">
        <f aca="false">ROUNDDOWN(E7/J7,0)</f>
        <v>714</v>
      </c>
      <c r="L7" s="9" t="n">
        <f aca="false">E7-K7*J7</f>
        <v>55.7021420000019</v>
      </c>
      <c r="M7" s="10" t="n">
        <v>1</v>
      </c>
    </row>
    <row r="8" customFormat="false" ht="15" hidden="false" customHeight="false" outlineLevel="0" collapsed="false">
      <c r="A8" s="0" t="s">
        <v>49</v>
      </c>
      <c r="B8" s="0" t="s">
        <v>50</v>
      </c>
      <c r="C8" s="0" t="s">
        <v>46</v>
      </c>
      <c r="D8" s="4" t="n">
        <v>0.05</v>
      </c>
      <c r="E8" s="6" t="n">
        <f aca="false">D8*$B$2</f>
        <v>25000</v>
      </c>
      <c r="F8" s="7" t="n">
        <v>0.0006</v>
      </c>
      <c r="G8" s="6" t="n">
        <f aca="false">E8*F8</f>
        <v>15</v>
      </c>
      <c r="H8" s="7" t="n">
        <v>0.0204</v>
      </c>
      <c r="I8" s="6" t="n">
        <f aca="false">E8*H8</f>
        <v>510</v>
      </c>
      <c r="J8" s="8" t="n">
        <v>59.73</v>
      </c>
      <c r="K8" s="6" t="n">
        <f aca="false">ROUNDDOWN(E8/J8,0)</f>
        <v>418</v>
      </c>
      <c r="L8" s="9" t="n">
        <f aca="false">E8-K8*J8</f>
        <v>32.8600000000006</v>
      </c>
      <c r="M8" s="10" t="n">
        <v>1</v>
      </c>
    </row>
    <row r="9" customFormat="false" ht="15" hidden="false" customHeight="false" outlineLevel="0" collapsed="false">
      <c r="A9" s="0" t="s">
        <v>51</v>
      </c>
      <c r="B9" s="0" t="s">
        <v>52</v>
      </c>
      <c r="C9" s="0" t="s">
        <v>46</v>
      </c>
      <c r="D9" s="4" t="n">
        <v>0.03</v>
      </c>
      <c r="E9" s="6" t="n">
        <f aca="false">D9*$B$2</f>
        <v>15000</v>
      </c>
      <c r="F9" s="7" t="n">
        <v>0.0075</v>
      </c>
      <c r="G9" s="6" t="n">
        <f aca="false">E9*F9</f>
        <v>112.5</v>
      </c>
      <c r="H9" s="7" t="n">
        <v>0.0289</v>
      </c>
      <c r="I9" s="6" t="n">
        <f aca="false">E9*H9</f>
        <v>433.5</v>
      </c>
      <c r="J9" s="8" t="n">
        <v>35.66</v>
      </c>
      <c r="K9" s="6" t="n">
        <f aca="false">ROUNDDOWN(E9/J9,0)</f>
        <v>420</v>
      </c>
      <c r="L9" s="9" t="n">
        <f aca="false">E9-K9*J9</f>
        <v>22.8000000000011</v>
      </c>
      <c r="M9" s="10" t="n">
        <v>1</v>
      </c>
    </row>
    <row r="10" customFormat="false" ht="15" hidden="false" customHeight="false" outlineLevel="0" collapsed="false">
      <c r="A10" s="0" t="s">
        <v>53</v>
      </c>
      <c r="B10" s="0" t="s">
        <v>54</v>
      </c>
      <c r="C10" s="0" t="s">
        <v>46</v>
      </c>
      <c r="D10" s="4" t="n">
        <v>0.02</v>
      </c>
      <c r="E10" s="6" t="n">
        <f aca="false">D10*$B$2</f>
        <v>10000</v>
      </c>
      <c r="F10" s="7" t="n">
        <v>0.0059</v>
      </c>
      <c r="G10" s="6" t="n">
        <f aca="false">E10*F10</f>
        <v>59</v>
      </c>
      <c r="H10" s="7" t="n">
        <v>0.0439</v>
      </c>
      <c r="I10" s="6" t="n">
        <f aca="false">E10*H10</f>
        <v>439</v>
      </c>
      <c r="J10" s="8" t="n">
        <v>19.309999</v>
      </c>
      <c r="K10" s="6" t="n">
        <f aca="false">ROUNDDOWN(E10/J10,0)</f>
        <v>517</v>
      </c>
      <c r="L10" s="9" t="n">
        <f aca="false">E10-K10*J10</f>
        <v>16.730517</v>
      </c>
      <c r="M10" s="10" t="n">
        <v>1</v>
      </c>
    </row>
    <row r="11" customFormat="false" ht="15" hidden="false" customHeight="false" outlineLevel="0" collapsed="false">
      <c r="A11" s="0" t="s">
        <v>55</v>
      </c>
      <c r="B11" s="0" t="s">
        <v>56</v>
      </c>
      <c r="C11" s="0" t="s">
        <v>57</v>
      </c>
      <c r="D11" s="4" t="n">
        <v>0.03</v>
      </c>
      <c r="E11" s="6" t="n">
        <f aca="false">D11*$B$2</f>
        <v>15000</v>
      </c>
      <c r="F11" s="7" t="n">
        <v>0.0013</v>
      </c>
      <c r="G11" s="6" t="n">
        <f aca="false">E11*F11</f>
        <v>19.5</v>
      </c>
      <c r="H11" s="7" t="n">
        <v>0.0374</v>
      </c>
      <c r="I11" s="6" t="n">
        <f aca="false">E11*H11</f>
        <v>561</v>
      </c>
      <c r="J11" s="8" t="n">
        <v>91.360001</v>
      </c>
      <c r="K11" s="6" t="n">
        <f aca="false">ROUNDDOWN(E11/J11,0)</f>
        <v>164</v>
      </c>
      <c r="L11" s="9" t="n">
        <f aca="false">E11-K11*J11</f>
        <v>16.959836</v>
      </c>
      <c r="M11" s="10" t="n">
        <v>1</v>
      </c>
    </row>
    <row r="12" customFormat="false" ht="15" hidden="false" customHeight="false" outlineLevel="0" collapsed="false">
      <c r="A12" s="0" t="s">
        <v>58</v>
      </c>
      <c r="B12" s="0" t="s">
        <v>59</v>
      </c>
      <c r="C12" s="0" t="s">
        <v>60</v>
      </c>
      <c r="D12" s="4" t="n">
        <v>0.25</v>
      </c>
      <c r="E12" s="6" t="n">
        <f aca="false">D12*$B$2</f>
        <v>125000</v>
      </c>
      <c r="F12" s="7" t="n">
        <v>0.0003</v>
      </c>
      <c r="G12" s="6" t="n">
        <f aca="false">E12*F12</f>
        <v>37.5</v>
      </c>
      <c r="H12" s="7" t="n">
        <v>0.0418</v>
      </c>
      <c r="I12" s="6" t="n">
        <f aca="false">E12*H12</f>
        <v>5225</v>
      </c>
      <c r="J12" s="8" t="n">
        <v>70.25</v>
      </c>
      <c r="K12" s="6" t="n">
        <f aca="false">ROUNDDOWN(E12/J12,0)</f>
        <v>1779</v>
      </c>
      <c r="L12" s="9" t="n">
        <f aca="false">E12-K12*J12</f>
        <v>25.25</v>
      </c>
      <c r="M12" s="10" t="n">
        <v>0</v>
      </c>
    </row>
    <row r="13" customFormat="false" ht="15" hidden="false" customHeight="false" outlineLevel="0" collapsed="false">
      <c r="A13" s="0" t="s">
        <v>61</v>
      </c>
      <c r="B13" s="0" t="s">
        <v>62</v>
      </c>
      <c r="C13" s="0" t="s">
        <v>60</v>
      </c>
      <c r="D13" s="4" t="n">
        <v>0.12</v>
      </c>
      <c r="E13" s="6" t="n">
        <f aca="false">D13*$B$2</f>
        <v>60000</v>
      </c>
      <c r="F13" s="7" t="n">
        <v>0.0003</v>
      </c>
      <c r="G13" s="6" t="n">
        <f aca="false">E13*F13</f>
        <v>18</v>
      </c>
      <c r="H13" s="7" t="n">
        <v>0.0499</v>
      </c>
      <c r="I13" s="6" t="n">
        <f aca="false">E13*H13</f>
        <v>2994</v>
      </c>
      <c r="J13" s="8" t="n">
        <v>25.209999</v>
      </c>
      <c r="K13" s="6" t="n">
        <f aca="false">ROUNDDOWN(E13/J13,0)</f>
        <v>2380</v>
      </c>
      <c r="L13" s="9" t="n">
        <f aca="false">E13-K13*J13</f>
        <v>0.202380000002449</v>
      </c>
      <c r="M13" s="10" t="n">
        <v>0</v>
      </c>
    </row>
    <row r="14" customFormat="false" ht="15" hidden="false" customHeight="false" outlineLevel="0" collapsed="false">
      <c r="A14" s="0" t="s">
        <v>63</v>
      </c>
      <c r="B14" s="0" t="s">
        <v>64</v>
      </c>
      <c r="C14" s="0" t="s">
        <v>57</v>
      </c>
      <c r="D14" s="4" t="n">
        <v>0.07</v>
      </c>
      <c r="E14" s="6" t="n">
        <f aca="false">D14*$B$2</f>
        <v>35000</v>
      </c>
      <c r="F14" s="7" t="n">
        <v>0.0025</v>
      </c>
      <c r="G14" s="6" t="n">
        <f aca="false">E14*F14</f>
        <v>87.5</v>
      </c>
      <c r="H14" s="7" t="n">
        <v>0</v>
      </c>
      <c r="I14" s="6" t="n">
        <f aca="false">E14*H14</f>
        <v>0</v>
      </c>
      <c r="J14" s="8" t="n">
        <v>78.339996</v>
      </c>
      <c r="K14" s="6" t="n">
        <f aca="false">ROUNDDOWN(E14/J14,0)</f>
        <v>446</v>
      </c>
      <c r="L14" s="9" t="n">
        <f aca="false">E14-K14*J14</f>
        <v>60.3617840000006</v>
      </c>
      <c r="M14" s="10" t="n">
        <v>0</v>
      </c>
    </row>
    <row r="15" customFormat="false" ht="15" hidden="false" customHeight="false" outlineLevel="0" collapsed="false">
      <c r="A15" s="0" t="s">
        <v>65</v>
      </c>
      <c r="B15" s="0" t="s">
        <v>66</v>
      </c>
      <c r="C15" s="0" t="s">
        <v>67</v>
      </c>
      <c r="D15" s="4" t="n">
        <v>0.08</v>
      </c>
      <c r="E15" s="6" t="n">
        <f aca="false">D15*$B$2</f>
        <v>40000</v>
      </c>
      <c r="F15" s="7" t="n">
        <v>0.0014</v>
      </c>
      <c r="G15" s="6" t="n">
        <f aca="false">E15*F15</f>
        <v>56</v>
      </c>
      <c r="H15" s="7" t="n">
        <v>0.0366</v>
      </c>
      <c r="I15" s="6" t="n">
        <f aca="false">E15*H15</f>
        <v>1464</v>
      </c>
      <c r="J15" s="8" t="n">
        <v>91.5</v>
      </c>
      <c r="K15" s="6" t="n">
        <f aca="false">ROUNDDOWN(E15/J15,0)</f>
        <v>437</v>
      </c>
      <c r="L15" s="9" t="n">
        <f aca="false">E15-K15*J15</f>
        <v>14.5</v>
      </c>
      <c r="M15" s="10" t="n">
        <v>0</v>
      </c>
    </row>
    <row r="16" customFormat="false" ht="15" hidden="false" customHeight="false" outlineLevel="0" collapsed="false">
      <c r="A16" s="2" t="s">
        <v>68</v>
      </c>
      <c r="D16" s="11" t="n">
        <f aca="false">SUM(D6:D15)</f>
        <v>1</v>
      </c>
      <c r="E16" s="12" t="n">
        <f aca="false">SUM(E6:E15)</f>
        <v>500000</v>
      </c>
      <c r="F16" s="13" t="n">
        <f aca="false">SUMPRODUCT(D6:D15,F6:F15)</f>
        <v>0.000915</v>
      </c>
      <c r="G16" s="12" t="n">
        <f aca="false">SUM(G6:G15)</f>
        <v>457.5</v>
      </c>
      <c r="H16" s="14" t="n">
        <f aca="false">SUMPRODUCT(D6:D15,H6:H15)</f>
        <v>0.028283</v>
      </c>
      <c r="I16" s="12" t="n">
        <f aca="false">SUM(I6:I15)</f>
        <v>14141.5</v>
      </c>
      <c r="L16" s="15" t="n">
        <f aca="false">SUM(L6:L15)</f>
        <v>471.974370000011</v>
      </c>
    </row>
    <row r="18" customFormat="false" ht="15" hidden="false" customHeight="false" outlineLevel="0" collapsed="false">
      <c r="A18" s="2" t="s">
        <v>69</v>
      </c>
    </row>
    <row r="19" customFormat="false" ht="15" hidden="false" customHeight="false" outlineLevel="0" collapsed="false">
      <c r="A19" s="0" t="s">
        <v>46</v>
      </c>
      <c r="D19" s="16" t="n">
        <f aca="false">SUMIF(C6:C15,A19,D6:D15)</f>
        <v>0.45</v>
      </c>
      <c r="E19" s="6" t="n">
        <f aca="false">SUMIF(C6:C15,A19,E6:E15)</f>
        <v>225000</v>
      </c>
    </row>
    <row r="20" customFormat="false" ht="15" hidden="false" customHeight="false" outlineLevel="0" collapsed="false">
      <c r="A20" s="0" t="s">
        <v>60</v>
      </c>
      <c r="D20" s="16" t="n">
        <f aca="false">SUMIF(C6:C15,A20,D6:D15)</f>
        <v>0.37</v>
      </c>
      <c r="E20" s="6" t="n">
        <f aca="false">SUMIF(C6:C15,A20,E6:E15)</f>
        <v>185000</v>
      </c>
    </row>
    <row r="21" customFormat="false" ht="15" hidden="false" customHeight="false" outlineLevel="0" collapsed="false">
      <c r="A21" s="0" t="s">
        <v>57</v>
      </c>
      <c r="D21" s="16" t="n">
        <f aca="false">SUMIF(C6:C15,A21,D6:D15)</f>
        <v>0.1</v>
      </c>
      <c r="E21" s="6" t="n">
        <f aca="false">SUMIF(C6:C15,A21,E6:E15)</f>
        <v>50000</v>
      </c>
    </row>
    <row r="22" customFormat="false" ht="15" hidden="false" customHeight="false" outlineLevel="0" collapsed="false">
      <c r="A22" s="0" t="s">
        <v>67</v>
      </c>
      <c r="D22" s="16" t="n">
        <f aca="false">SUMIF(C6:C15,A22,D6:D15)</f>
        <v>0.08</v>
      </c>
      <c r="E22" s="6" t="n">
        <f aca="false">SUMIF(C6:C15,A22,E6:E15)</f>
        <v>40000</v>
      </c>
    </row>
    <row r="24" customFormat="false" ht="15" hidden="false" customHeight="false" outlineLevel="0" collapsed="false">
      <c r="A24" s="0" t="s">
        <v>70</v>
      </c>
      <c r="D24" s="16" t="n">
        <f aca="false">D9+D10</f>
        <v>0.05</v>
      </c>
    </row>
    <row r="25" customFormat="false" ht="15" hidden="false" customHeight="false" outlineLevel="0" collapsed="false">
      <c r="A25" s="0" t="s">
        <v>71</v>
      </c>
      <c r="D25" s="13" t="n">
        <f aca="false">SUMPRODUCT(D6:D15,H6:H15,M6:M15)*B3</f>
        <v>0.0026751</v>
      </c>
      <c r="E25" s="0" t="s">
        <v>72</v>
      </c>
      <c r="I25" s="13" t="n">
        <f aca="false">H16*B3</f>
        <v>0.0084849</v>
      </c>
    </row>
    <row r="26" customFormat="false" ht="15" hidden="false" customHeight="false" outlineLevel="0" collapsed="false">
      <c r="A26" s="0" t="s">
        <v>73</v>
      </c>
      <c r="D26" s="0" t="str">
        <f aca="false">IF(ABS(D16-1)&lt;0.000001,"PASS","FAIL")</f>
        <v>PASS</v>
      </c>
    </row>
    <row r="27" customFormat="false" ht="15" hidden="false" customHeight="false" outlineLevel="0" collapsed="false">
      <c r="A27" s="0" t="s">
        <v>74</v>
      </c>
      <c r="D27" s="0" t="str">
        <f aca="false">IF(AND(D19&gt;=0.4,D19&lt;=0.6),"PASS","FAIL")</f>
        <v>PASS</v>
      </c>
    </row>
    <row r="28" customFormat="false" ht="15" hidden="false" customHeight="false" outlineLevel="0" collapsed="false">
      <c r="A28" s="0" t="s">
        <v>75</v>
      </c>
      <c r="D28" s="0" t="str">
        <f aca="false">IF(D24&lt;=0.06+0.000001,"PASS","FAIL")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15" min="2" style="0" width="10"/>
  </cols>
  <sheetData>
    <row r="1" customFormat="false" ht="28.35" hidden="false" customHeight="false" outlineLevel="0" collapsed="false">
      <c r="A1" s="5" t="s">
        <v>76</v>
      </c>
      <c r="B1" s="5" t="s">
        <v>44</v>
      </c>
      <c r="C1" s="5" t="s">
        <v>47</v>
      </c>
      <c r="D1" s="5" t="s">
        <v>49</v>
      </c>
      <c r="E1" s="5" t="s">
        <v>51</v>
      </c>
      <c r="F1" s="5" t="s">
        <v>53</v>
      </c>
      <c r="G1" s="5" t="s">
        <v>55</v>
      </c>
      <c r="H1" s="5" t="s">
        <v>58</v>
      </c>
      <c r="I1" s="5" t="s">
        <v>61</v>
      </c>
      <c r="J1" s="5" t="s">
        <v>63</v>
      </c>
      <c r="K1" s="5" t="s">
        <v>65</v>
      </c>
      <c r="L1" s="5" t="s">
        <v>77</v>
      </c>
      <c r="M1" s="5" t="s">
        <v>78</v>
      </c>
      <c r="N1" s="5" t="s">
        <v>79</v>
      </c>
      <c r="O1" s="5" t="s">
        <v>80</v>
      </c>
    </row>
    <row r="2" customFormat="false" ht="15" hidden="false" customHeight="false" outlineLevel="0" collapsed="false">
      <c r="A2" s="17" t="n">
        <v>42643</v>
      </c>
      <c r="B2" s="18" t="n">
        <v>94.948044</v>
      </c>
      <c r="C2" s="18" t="n">
        <v>27.882143</v>
      </c>
      <c r="D2" s="18" t="n">
        <v>28.550541</v>
      </c>
      <c r="E2" s="18" t="n">
        <v>16.274284</v>
      </c>
      <c r="F2" s="18" t="n">
        <v>11.323173</v>
      </c>
      <c r="G2" s="18" t="n">
        <v>58.245884</v>
      </c>
      <c r="H2" s="18" t="n">
        <v>62.16325</v>
      </c>
      <c r="I2" s="18" t="n">
        <v>20.421568</v>
      </c>
      <c r="J2" s="18" t="n">
        <v>25.379999</v>
      </c>
      <c r="K2" s="18" t="n">
        <v>72.826668</v>
      </c>
      <c r="L2" s="18" t="n">
        <v>184.719162</v>
      </c>
      <c r="M2" s="18" t="n">
        <v>84.235611</v>
      </c>
      <c r="N2" s="18" t="n">
        <v>31.736912</v>
      </c>
      <c r="O2" s="0" t="n">
        <v>0.29</v>
      </c>
    </row>
    <row r="3" customFormat="false" ht="15" hidden="false" customHeight="false" outlineLevel="0" collapsed="false">
      <c r="A3" s="17" t="n">
        <v>42674</v>
      </c>
      <c r="B3" s="18" t="n">
        <v>92.867058</v>
      </c>
      <c r="C3" s="18" t="n">
        <v>27.211363</v>
      </c>
      <c r="D3" s="18" t="n">
        <v>28.641579</v>
      </c>
      <c r="E3" s="18" t="n">
        <v>17.196814</v>
      </c>
      <c r="F3" s="18" t="n">
        <v>10.722526</v>
      </c>
      <c r="G3" s="18" t="n">
        <v>54.901806</v>
      </c>
      <c r="H3" s="18" t="n">
        <v>61.579201</v>
      </c>
      <c r="I3" s="18" t="n">
        <v>20.298981</v>
      </c>
      <c r="J3" s="18" t="n">
        <v>24.639999</v>
      </c>
      <c r="K3" s="18" t="n">
        <v>72.842567</v>
      </c>
      <c r="L3" s="18" t="n">
        <v>181.516724</v>
      </c>
      <c r="M3" s="18" t="n">
        <v>83.547234</v>
      </c>
      <c r="N3" s="18" t="n">
        <v>31.234083</v>
      </c>
      <c r="O3" s="0" t="n">
        <v>0.34</v>
      </c>
    </row>
    <row r="4" customFormat="false" ht="15" hidden="false" customHeight="false" outlineLevel="0" collapsed="false">
      <c r="A4" s="17" t="n">
        <v>42704</v>
      </c>
      <c r="B4" s="18" t="n">
        <v>97.037529</v>
      </c>
      <c r="C4" s="18" t="n">
        <v>26.801445</v>
      </c>
      <c r="D4" s="18" t="n">
        <v>27.480753</v>
      </c>
      <c r="E4" s="18" t="n">
        <v>19.737307</v>
      </c>
      <c r="F4" s="18" t="n">
        <v>10.575522</v>
      </c>
      <c r="G4" s="18" t="n">
        <v>53.981857</v>
      </c>
      <c r="H4" s="18" t="n">
        <v>59.994267</v>
      </c>
      <c r="I4" s="18" t="n">
        <v>19.892805</v>
      </c>
      <c r="J4" s="18" t="n">
        <v>22.58</v>
      </c>
      <c r="K4" s="18" t="n">
        <v>72.810707</v>
      </c>
      <c r="L4" s="18" t="n">
        <v>188.203522</v>
      </c>
      <c r="M4" s="18" t="n">
        <v>81.40387</v>
      </c>
      <c r="N4" s="18" t="n">
        <v>31.125738</v>
      </c>
      <c r="O4" s="0" t="n">
        <v>0.48</v>
      </c>
    </row>
    <row r="5" customFormat="false" ht="15" hidden="false" customHeight="false" outlineLevel="0" collapsed="false">
      <c r="A5" s="17" t="n">
        <v>42735</v>
      </c>
      <c r="B5" s="18" t="n">
        <v>98.965317</v>
      </c>
      <c r="C5" s="18" t="n">
        <v>27.457682</v>
      </c>
      <c r="D5" s="18" t="n">
        <v>27.27787</v>
      </c>
      <c r="E5" s="18" t="n">
        <v>20.125727</v>
      </c>
      <c r="F5" s="18" t="n">
        <v>11.110047</v>
      </c>
      <c r="G5" s="18" t="n">
        <v>56.582214</v>
      </c>
      <c r="H5" s="18" t="n">
        <v>60.192169</v>
      </c>
      <c r="I5" s="18" t="n">
        <v>19.890501</v>
      </c>
      <c r="J5" s="18" t="n">
        <v>22.16</v>
      </c>
      <c r="K5" s="18" t="n">
        <v>72.826683</v>
      </c>
      <c r="L5" s="18" t="n">
        <v>192.018753</v>
      </c>
      <c r="M5" s="18" t="n">
        <v>81.610741</v>
      </c>
      <c r="N5" s="18" t="n">
        <v>31.616926</v>
      </c>
      <c r="O5" s="0" t="n">
        <v>0.51</v>
      </c>
    </row>
    <row r="6" customFormat="false" ht="15" hidden="false" customHeight="false" outlineLevel="0" collapsed="false">
      <c r="A6" s="17" t="n">
        <v>42766</v>
      </c>
      <c r="B6" s="18" t="n">
        <v>100.801811</v>
      </c>
      <c r="C6" s="18" t="n">
        <v>28.464619</v>
      </c>
      <c r="D6" s="18" t="n">
        <v>28.848366</v>
      </c>
      <c r="E6" s="18" t="n">
        <v>20.159996</v>
      </c>
      <c r="F6" s="18" t="n">
        <v>11.425748</v>
      </c>
      <c r="G6" s="18" t="n">
        <v>56.472527</v>
      </c>
      <c r="H6" s="18" t="n">
        <v>60.303925</v>
      </c>
      <c r="I6" s="18" t="n">
        <v>20.064604</v>
      </c>
      <c r="J6" s="18" t="n">
        <v>23.34</v>
      </c>
      <c r="K6" s="18" t="n">
        <v>72.858543</v>
      </c>
      <c r="L6" s="18" t="n">
        <v>195.454865</v>
      </c>
      <c r="M6" s="18" t="n">
        <v>81.784393</v>
      </c>
      <c r="N6" s="18" t="n">
        <v>32.029869</v>
      </c>
      <c r="O6" s="0" t="n">
        <v>0.52</v>
      </c>
    </row>
    <row r="7" customFormat="false" ht="15" hidden="false" customHeight="false" outlineLevel="0" collapsed="false">
      <c r="A7" s="17" t="n">
        <v>42794</v>
      </c>
      <c r="B7" s="18" t="n">
        <v>104.526337</v>
      </c>
      <c r="C7" s="18" t="n">
        <v>28.765192</v>
      </c>
      <c r="D7" s="18" t="n">
        <v>29.496391</v>
      </c>
      <c r="E7" s="18" t="n">
        <v>19.629263</v>
      </c>
      <c r="F7" s="18" t="n">
        <v>11.324995</v>
      </c>
      <c r="G7" s="18" t="n">
        <v>58.453911</v>
      </c>
      <c r="H7" s="18" t="n">
        <v>60.675716</v>
      </c>
      <c r="I7" s="18" t="n">
        <v>20.137144</v>
      </c>
      <c r="J7" s="18" t="n">
        <v>24.08</v>
      </c>
      <c r="K7" s="18" t="n">
        <v>72.895218</v>
      </c>
      <c r="L7" s="18" t="n">
        <v>203.134567</v>
      </c>
      <c r="M7" s="18" t="n">
        <v>82.312653</v>
      </c>
      <c r="N7" s="18" t="n">
        <v>32.723293</v>
      </c>
      <c r="O7" s="0" t="n">
        <v>0.53</v>
      </c>
    </row>
    <row r="8" customFormat="false" ht="15" hidden="false" customHeight="false" outlineLevel="0" collapsed="false">
      <c r="A8" s="17" t="n">
        <v>42825</v>
      </c>
      <c r="B8" s="18" t="n">
        <v>104.584106</v>
      </c>
      <c r="C8" s="18" t="n">
        <v>29.644957</v>
      </c>
      <c r="D8" s="18" t="n">
        <v>30.335539</v>
      </c>
      <c r="E8" s="18" t="n">
        <v>19.792625</v>
      </c>
      <c r="F8" s="18" t="n">
        <v>11.274615</v>
      </c>
      <c r="G8" s="18" t="n">
        <v>57.037163</v>
      </c>
      <c r="H8" s="18" t="n">
        <v>60.651802</v>
      </c>
      <c r="I8" s="18" t="n">
        <v>20.140759</v>
      </c>
      <c r="J8" s="18" t="n">
        <v>24.02</v>
      </c>
      <c r="K8" s="18" t="n">
        <v>72.882423</v>
      </c>
      <c r="L8" s="18" t="n">
        <v>203.388428</v>
      </c>
      <c r="M8" s="18" t="n">
        <v>82.267159</v>
      </c>
      <c r="N8" s="18" t="n">
        <v>33.027138</v>
      </c>
      <c r="O8" s="0" t="n">
        <v>0.76</v>
      </c>
    </row>
    <row r="9" customFormat="false" ht="15" hidden="false" customHeight="false" outlineLevel="0" collapsed="false">
      <c r="A9" s="17" t="n">
        <v>42855</v>
      </c>
      <c r="B9" s="18" t="n">
        <v>105.696114</v>
      </c>
      <c r="C9" s="18" t="n">
        <v>30.301222</v>
      </c>
      <c r="D9" s="18" t="n">
        <v>30.80905</v>
      </c>
      <c r="E9" s="18" t="n">
        <v>19.890646</v>
      </c>
      <c r="F9" s="18" t="n">
        <v>11.39888</v>
      </c>
      <c r="G9" s="18" t="n">
        <v>57.175289</v>
      </c>
      <c r="H9" s="18" t="n">
        <v>61.134579</v>
      </c>
      <c r="I9" s="18" t="n">
        <v>20.223913</v>
      </c>
      <c r="J9" s="18" t="n">
        <v>24.42</v>
      </c>
      <c r="K9" s="18" t="n">
        <v>72.936661</v>
      </c>
      <c r="L9" s="18" t="n">
        <v>205.407379</v>
      </c>
      <c r="M9" s="18" t="n">
        <v>83.013367</v>
      </c>
      <c r="N9" s="18" t="n">
        <v>33.483028</v>
      </c>
      <c r="O9" s="0" t="n">
        <v>0.8</v>
      </c>
    </row>
    <row r="10" customFormat="false" ht="15" hidden="false" customHeight="false" outlineLevel="0" collapsed="false">
      <c r="A10" s="17" t="n">
        <v>42886</v>
      </c>
      <c r="B10" s="18" t="n">
        <v>106.765068</v>
      </c>
      <c r="C10" s="18" t="n">
        <v>31.33465</v>
      </c>
      <c r="D10" s="18" t="n">
        <v>31.114552</v>
      </c>
      <c r="E10" s="18" t="n">
        <v>19.768721</v>
      </c>
      <c r="F10" s="18" t="n">
        <v>11.345143</v>
      </c>
      <c r="G10" s="18" t="n">
        <v>56.760952</v>
      </c>
      <c r="H10" s="18" t="n">
        <v>61.568787</v>
      </c>
      <c r="I10" s="18" t="n">
        <v>20.242823</v>
      </c>
      <c r="J10" s="18" t="n">
        <v>24.4</v>
      </c>
      <c r="K10" s="18" t="n">
        <v>72.947823</v>
      </c>
      <c r="L10" s="18" t="n">
        <v>208.306259</v>
      </c>
      <c r="M10" s="18" t="n">
        <v>83.58371</v>
      </c>
      <c r="N10" s="18" t="n">
        <v>33.991283</v>
      </c>
      <c r="O10" s="0" t="n">
        <v>0.98</v>
      </c>
    </row>
    <row r="11" customFormat="false" ht="15" hidden="false" customHeight="false" outlineLevel="0" collapsed="false">
      <c r="A11" s="17" t="n">
        <v>42916</v>
      </c>
      <c r="B11" s="18" t="n">
        <v>107.776459</v>
      </c>
      <c r="C11" s="18" t="n">
        <v>31.534332</v>
      </c>
      <c r="D11" s="18" t="n">
        <v>31.379169</v>
      </c>
      <c r="E11" s="18" t="n">
        <v>21.835014</v>
      </c>
      <c r="F11" s="18" t="n">
        <v>11.545914</v>
      </c>
      <c r="G11" s="18" t="n">
        <v>58.028191</v>
      </c>
      <c r="H11" s="18" t="n">
        <v>61.600357</v>
      </c>
      <c r="I11" s="18" t="n">
        <v>20.053074</v>
      </c>
      <c r="J11" s="18" t="n">
        <v>23.879999</v>
      </c>
      <c r="K11" s="18" t="n">
        <v>73.022896</v>
      </c>
      <c r="L11" s="18" t="n">
        <v>209.634171</v>
      </c>
      <c r="M11" s="18" t="n">
        <v>83.568443</v>
      </c>
      <c r="N11" s="18" t="n">
        <v>34.100758</v>
      </c>
      <c r="O11" s="0" t="n">
        <v>1.03</v>
      </c>
    </row>
    <row r="12" customFormat="false" ht="15" hidden="false" customHeight="false" outlineLevel="0" collapsed="false">
      <c r="A12" s="17" t="n">
        <v>42947</v>
      </c>
      <c r="B12" s="18" t="n">
        <v>109.802948</v>
      </c>
      <c r="C12" s="18" t="n">
        <v>32.442516</v>
      </c>
      <c r="D12" s="18" t="n">
        <v>33.054558</v>
      </c>
      <c r="E12" s="18" t="n">
        <v>20.835854</v>
      </c>
      <c r="F12" s="18" t="n">
        <v>12.229145</v>
      </c>
      <c r="G12" s="18" t="n">
        <v>58.746292</v>
      </c>
      <c r="H12" s="18" t="n">
        <v>61.97757</v>
      </c>
      <c r="I12" s="18" t="n">
        <v>20.158152</v>
      </c>
      <c r="J12" s="18" t="n">
        <v>24.440001</v>
      </c>
      <c r="K12" s="18" t="n">
        <v>73.046829</v>
      </c>
      <c r="L12" s="18" t="n">
        <v>213.9431</v>
      </c>
      <c r="M12" s="18" t="n">
        <v>83.847534</v>
      </c>
      <c r="N12" s="18" t="n">
        <v>34.754276</v>
      </c>
      <c r="O12" s="0" t="n">
        <v>1.07</v>
      </c>
    </row>
    <row r="13" customFormat="false" ht="15" hidden="false" customHeight="false" outlineLevel="0" collapsed="false">
      <c r="A13" s="17" t="n">
        <v>42978</v>
      </c>
      <c r="B13" s="18" t="n">
        <v>109.967476</v>
      </c>
      <c r="C13" s="18" t="n">
        <v>32.450134</v>
      </c>
      <c r="D13" s="18" t="n">
        <v>34.045975</v>
      </c>
      <c r="E13" s="18" t="n">
        <v>21.021839</v>
      </c>
      <c r="F13" s="18" t="n">
        <v>12.263651</v>
      </c>
      <c r="G13" s="18" t="n">
        <v>58.592934</v>
      </c>
      <c r="H13" s="18" t="n">
        <v>62.639488</v>
      </c>
      <c r="I13" s="18" t="n">
        <v>20.367895</v>
      </c>
      <c r="J13" s="18" t="n">
        <v>25.440001</v>
      </c>
      <c r="K13" s="18" t="n">
        <v>73.129936</v>
      </c>
      <c r="L13" s="18" t="n">
        <v>214.567261</v>
      </c>
      <c r="M13" s="18" t="n">
        <v>84.636818</v>
      </c>
      <c r="N13" s="18" t="n">
        <v>34.919704</v>
      </c>
      <c r="O13" s="0" t="n">
        <v>1.01</v>
      </c>
    </row>
    <row r="14" customFormat="false" ht="15" hidden="false" customHeight="false" outlineLevel="0" collapsed="false">
      <c r="A14" s="17" t="n">
        <v>43008</v>
      </c>
      <c r="B14" s="18" t="n">
        <v>112.650787</v>
      </c>
      <c r="C14" s="18" t="n">
        <v>33.266026</v>
      </c>
      <c r="D14" s="18" t="n">
        <v>33.877396</v>
      </c>
      <c r="E14" s="18" t="n">
        <v>21.045992</v>
      </c>
      <c r="F14" s="18" t="n">
        <v>11.984148</v>
      </c>
      <c r="G14" s="18" t="n">
        <v>58.526093</v>
      </c>
      <c r="H14" s="18" t="n">
        <v>62.345844</v>
      </c>
      <c r="I14" s="18" t="n">
        <v>20.217522</v>
      </c>
      <c r="J14" s="18" t="n">
        <v>24.620001</v>
      </c>
      <c r="K14" s="18" t="n">
        <v>73.182724</v>
      </c>
      <c r="L14" s="18" t="n">
        <v>218.89064</v>
      </c>
      <c r="M14" s="18" t="n">
        <v>84.153038</v>
      </c>
      <c r="N14" s="18" t="n">
        <v>35.313576</v>
      </c>
      <c r="O14" s="0" t="n">
        <v>1.06</v>
      </c>
    </row>
    <row r="15" customFormat="false" ht="15" hidden="false" customHeight="false" outlineLevel="0" collapsed="false">
      <c r="A15" s="17" t="n">
        <v>43039</v>
      </c>
      <c r="B15" s="18" t="n">
        <v>115.094788</v>
      </c>
      <c r="C15" s="18" t="n">
        <v>33.856106</v>
      </c>
      <c r="D15" s="18" t="n">
        <v>34.701584</v>
      </c>
      <c r="E15" s="18" t="n">
        <v>20.289177</v>
      </c>
      <c r="F15" s="18" t="n">
        <v>12.236046</v>
      </c>
      <c r="G15" s="18" t="n">
        <v>57.899208</v>
      </c>
      <c r="H15" s="18" t="n">
        <v>62.329121</v>
      </c>
      <c r="I15" s="18" t="n">
        <v>20.271749</v>
      </c>
      <c r="J15" s="18" t="n">
        <v>24.42</v>
      </c>
      <c r="K15" s="18" t="n">
        <v>73.233971</v>
      </c>
      <c r="L15" s="18" t="n">
        <v>224.04863</v>
      </c>
      <c r="M15" s="18" t="n">
        <v>84.235405</v>
      </c>
      <c r="N15" s="18" t="n">
        <v>35.812237</v>
      </c>
      <c r="O15" s="0" t="n">
        <v>1.15</v>
      </c>
    </row>
    <row r="16" customFormat="false" ht="15" hidden="false" customHeight="false" outlineLevel="0" collapsed="false">
      <c r="A16" s="17" t="n">
        <v>43069</v>
      </c>
      <c r="B16" s="18" t="n">
        <v>118.582504</v>
      </c>
      <c r="C16" s="18" t="n">
        <v>34.147301</v>
      </c>
      <c r="D16" s="18" t="n">
        <v>34.584949</v>
      </c>
      <c r="E16" s="18" t="n">
        <v>20.345537</v>
      </c>
      <c r="F16" s="18" t="n">
        <v>11.504504</v>
      </c>
      <c r="G16" s="18" t="n">
        <v>59.441776</v>
      </c>
      <c r="H16" s="18" t="n">
        <v>62.262653</v>
      </c>
      <c r="I16" s="18" t="n">
        <v>20.295267</v>
      </c>
      <c r="J16" s="18" t="n">
        <v>24.5</v>
      </c>
      <c r="K16" s="18" t="n">
        <v>73.27401</v>
      </c>
      <c r="L16" s="18" t="n">
        <v>230.896835</v>
      </c>
      <c r="M16" s="18" t="n">
        <v>84.110497</v>
      </c>
      <c r="N16" s="18" t="n">
        <v>36.239136</v>
      </c>
      <c r="O16" s="0" t="n">
        <v>1.27</v>
      </c>
    </row>
    <row r="17" customFormat="false" ht="15" hidden="false" customHeight="false" outlineLevel="0" collapsed="false">
      <c r="A17" s="17" t="n">
        <v>43100</v>
      </c>
      <c r="B17" s="18" t="n">
        <v>119.959274</v>
      </c>
      <c r="C17" s="18" t="n">
        <v>34.712139</v>
      </c>
      <c r="D17" s="18" t="n">
        <v>35.866455</v>
      </c>
      <c r="E17" s="18" t="n">
        <v>21.362423</v>
      </c>
      <c r="F17" s="18" t="n">
        <v>11.664065</v>
      </c>
      <c r="G17" s="18" t="n">
        <v>59.354137</v>
      </c>
      <c r="H17" s="18" t="n">
        <v>62.599525</v>
      </c>
      <c r="I17" s="18" t="n">
        <v>20.491373</v>
      </c>
      <c r="J17" s="18" t="n">
        <v>25.02</v>
      </c>
      <c r="K17" s="18" t="n">
        <v>73.328522</v>
      </c>
      <c r="L17" s="18" t="n">
        <v>233.697159</v>
      </c>
      <c r="M17" s="18" t="n">
        <v>84.510162</v>
      </c>
      <c r="N17" s="18" t="n">
        <v>36.613216</v>
      </c>
      <c r="O17" s="0" t="n">
        <v>1.39</v>
      </c>
    </row>
    <row r="18" customFormat="false" ht="15" hidden="false" customHeight="false" outlineLevel="0" collapsed="false">
      <c r="A18" s="17" t="n">
        <v>43131</v>
      </c>
      <c r="B18" s="18" t="n">
        <v>126.234741</v>
      </c>
      <c r="C18" s="18" t="n">
        <v>36.360321</v>
      </c>
      <c r="D18" s="18" t="n">
        <v>38.936707</v>
      </c>
      <c r="E18" s="18" t="n">
        <v>22.619036</v>
      </c>
      <c r="F18" s="18" t="n">
        <v>12.196588</v>
      </c>
      <c r="G18" s="18" t="n">
        <v>56.829208</v>
      </c>
      <c r="H18" s="18" t="n">
        <v>61.824375</v>
      </c>
      <c r="I18" s="18" t="n">
        <v>20.306536</v>
      </c>
      <c r="J18" s="18" t="n">
        <v>25.84</v>
      </c>
      <c r="K18" s="18" t="n">
        <v>73.42482</v>
      </c>
      <c r="L18" s="18" t="n">
        <v>246.868118</v>
      </c>
      <c r="M18" s="18" t="n">
        <v>83.559387</v>
      </c>
      <c r="N18" s="18" t="n">
        <v>37.680973</v>
      </c>
      <c r="O18" s="0" t="n">
        <v>1.46</v>
      </c>
    </row>
    <row r="19" customFormat="false" ht="15" hidden="false" customHeight="false" outlineLevel="0" collapsed="false">
      <c r="A19" s="17" t="n">
        <v>43159</v>
      </c>
      <c r="B19" s="18" t="n">
        <v>121.488815</v>
      </c>
      <c r="C19" s="18" t="n">
        <v>34.503227</v>
      </c>
      <c r="D19" s="18" t="n">
        <v>36.850796</v>
      </c>
      <c r="E19" s="18" t="n">
        <v>21.770418</v>
      </c>
      <c r="F19" s="18" t="n">
        <v>11.594637</v>
      </c>
      <c r="G19" s="18" t="n">
        <v>52.465973</v>
      </c>
      <c r="H19" s="18" t="n">
        <v>61.183743</v>
      </c>
      <c r="I19" s="18" t="n">
        <v>20.121691</v>
      </c>
      <c r="J19" s="18" t="n">
        <v>25.32</v>
      </c>
      <c r="K19" s="18" t="n">
        <v>73.485825</v>
      </c>
      <c r="L19" s="18" t="n">
        <v>237.891968</v>
      </c>
      <c r="M19" s="18" t="n">
        <v>82.716454</v>
      </c>
      <c r="N19" s="18" t="n">
        <v>36.450207</v>
      </c>
      <c r="O19" s="0" t="n">
        <v>1.65</v>
      </c>
    </row>
    <row r="20" customFormat="false" ht="15" hidden="false" customHeight="false" outlineLevel="0" collapsed="false">
      <c r="A20" s="17" t="n">
        <v>43190</v>
      </c>
      <c r="B20" s="18" t="n">
        <v>119.103813</v>
      </c>
      <c r="C20" s="18" t="n">
        <v>34.368698</v>
      </c>
      <c r="D20" s="18" t="n">
        <v>36.773716</v>
      </c>
      <c r="E20" s="18" t="n">
        <v>23.900127</v>
      </c>
      <c r="F20" s="18" t="n">
        <v>11.622409</v>
      </c>
      <c r="G20" s="18" t="n">
        <v>54.507298</v>
      </c>
      <c r="H20" s="18" t="n">
        <v>61.603752</v>
      </c>
      <c r="I20" s="18" t="n">
        <v>20.288052</v>
      </c>
      <c r="J20" s="18" t="n">
        <v>25.459999</v>
      </c>
      <c r="K20" s="18" t="n">
        <v>73.581482</v>
      </c>
      <c r="L20" s="18" t="n">
        <v>231.37114</v>
      </c>
      <c r="M20" s="18" t="n">
        <v>83.271614</v>
      </c>
      <c r="N20" s="18" t="n">
        <v>36.327953</v>
      </c>
      <c r="O20" s="0" t="n">
        <v>1.73</v>
      </c>
    </row>
    <row r="21" customFormat="false" ht="15" hidden="false" customHeight="false" outlineLevel="0" collapsed="false">
      <c r="A21" s="17" t="n">
        <v>43220</v>
      </c>
      <c r="B21" s="18" t="n">
        <v>119.639122</v>
      </c>
      <c r="C21" s="18" t="n">
        <v>34.803635</v>
      </c>
      <c r="D21" s="18" t="n">
        <v>35.756134</v>
      </c>
      <c r="E21" s="18" t="n">
        <v>24.952749</v>
      </c>
      <c r="F21" s="18" t="n">
        <v>11.476611</v>
      </c>
      <c r="G21" s="18" t="n">
        <v>54.95507</v>
      </c>
      <c r="H21" s="18" t="n">
        <v>61.078365</v>
      </c>
      <c r="I21" s="18" t="n">
        <v>20.286572</v>
      </c>
      <c r="J21" s="18" t="n">
        <v>25.24</v>
      </c>
      <c r="K21" s="18" t="n">
        <v>73.657913</v>
      </c>
      <c r="L21" s="18" t="n">
        <v>232.566956</v>
      </c>
      <c r="M21" s="18" t="n">
        <v>82.487984</v>
      </c>
      <c r="N21" s="18" t="n">
        <v>36.28038</v>
      </c>
      <c r="O21" s="0" t="n">
        <v>1.87</v>
      </c>
    </row>
    <row r="22" customFormat="false" ht="15" hidden="false" customHeight="false" outlineLevel="0" collapsed="false">
      <c r="A22" s="17" t="n">
        <v>43251</v>
      </c>
      <c r="B22" s="18" t="n">
        <v>122.894913</v>
      </c>
      <c r="C22" s="18" t="n">
        <v>34.306553</v>
      </c>
      <c r="D22" s="18" t="n">
        <v>34.918594</v>
      </c>
      <c r="E22" s="18" t="n">
        <v>25.319941</v>
      </c>
      <c r="F22" s="18" t="n">
        <v>11.330809</v>
      </c>
      <c r="G22" s="18" t="n">
        <v>56.97736</v>
      </c>
      <c r="H22" s="18" t="n">
        <v>61.494995</v>
      </c>
      <c r="I22" s="18" t="n">
        <v>20.337893</v>
      </c>
      <c r="J22" s="18" t="n">
        <v>24.92</v>
      </c>
      <c r="K22" s="18" t="n">
        <v>73.76828</v>
      </c>
      <c r="L22" s="18" t="n">
        <v>238.220428</v>
      </c>
      <c r="M22" s="18" t="n">
        <v>83.033943</v>
      </c>
      <c r="N22" s="18" t="n">
        <v>36.460369</v>
      </c>
      <c r="O22" s="0" t="n">
        <v>1.93</v>
      </c>
    </row>
    <row r="23" customFormat="false" ht="15" hidden="false" customHeight="false" outlineLevel="0" collapsed="false">
      <c r="A23" s="17" t="n">
        <v>43281</v>
      </c>
      <c r="B23" s="18" t="n">
        <v>123.759537</v>
      </c>
      <c r="C23" s="18" t="n">
        <v>33.73938</v>
      </c>
      <c r="D23" s="18" t="n">
        <v>33.246174</v>
      </c>
      <c r="E23" s="18" t="n">
        <v>25.834999</v>
      </c>
      <c r="F23" s="18" t="n">
        <v>11.030985</v>
      </c>
      <c r="G23" s="18" t="n">
        <v>59.371643</v>
      </c>
      <c r="H23" s="18" t="n">
        <v>61.610909</v>
      </c>
      <c r="I23" s="18" t="n">
        <v>20.467607</v>
      </c>
      <c r="J23" s="18" t="n">
        <v>24.040001</v>
      </c>
      <c r="K23" s="18" t="n">
        <v>73.877991</v>
      </c>
      <c r="L23" s="18" t="n">
        <v>239.590408</v>
      </c>
      <c r="M23" s="18" t="n">
        <v>83.119156</v>
      </c>
      <c r="N23" s="18" t="n">
        <v>36.288563</v>
      </c>
      <c r="O23" s="0" t="n">
        <v>1.93</v>
      </c>
    </row>
    <row r="24" customFormat="false" ht="15" hidden="false" customHeight="false" outlineLevel="0" collapsed="false">
      <c r="A24" s="17" t="n">
        <v>43312</v>
      </c>
      <c r="B24" s="18" t="n">
        <v>127.866417</v>
      </c>
      <c r="C24" s="18" t="n">
        <v>34.510113</v>
      </c>
      <c r="D24" s="18" t="n">
        <v>34.569721</v>
      </c>
      <c r="E24" s="18" t="n">
        <v>25.711462</v>
      </c>
      <c r="F24" s="18" t="n">
        <v>11.444103</v>
      </c>
      <c r="G24" s="18" t="n">
        <v>59.728828</v>
      </c>
      <c r="H24" s="18" t="n">
        <v>61.58828</v>
      </c>
      <c r="I24" s="18" t="n">
        <v>20.36072</v>
      </c>
      <c r="J24" s="18" t="n">
        <v>23.48</v>
      </c>
      <c r="K24" s="18" t="n">
        <v>73.980591</v>
      </c>
      <c r="L24" s="18" t="n">
        <v>248.466476</v>
      </c>
      <c r="M24" s="18" t="n">
        <v>83.094917</v>
      </c>
      <c r="N24" s="18" t="n">
        <v>37.024582</v>
      </c>
      <c r="O24" s="0" t="n">
        <v>2.03</v>
      </c>
    </row>
    <row r="25" customFormat="false" ht="15" hidden="false" customHeight="false" outlineLevel="0" collapsed="false">
      <c r="A25" s="17" t="n">
        <v>43343</v>
      </c>
      <c r="B25" s="18" t="n">
        <v>132.255219</v>
      </c>
      <c r="C25" s="18" t="n">
        <v>33.912399</v>
      </c>
      <c r="D25" s="18" t="n">
        <v>33.120125</v>
      </c>
      <c r="E25" s="18" t="n">
        <v>24.294945</v>
      </c>
      <c r="F25" s="18" t="n">
        <v>11.27016</v>
      </c>
      <c r="G25" s="18" t="n">
        <v>61.266884</v>
      </c>
      <c r="H25" s="18" t="n">
        <v>62.000217</v>
      </c>
      <c r="I25" s="18" t="n">
        <v>20.499542</v>
      </c>
      <c r="J25" s="18" t="n">
        <v>23</v>
      </c>
      <c r="K25" s="18" t="n">
        <v>74.097878</v>
      </c>
      <c r="L25" s="18" t="n">
        <v>256.397461</v>
      </c>
      <c r="M25" s="18" t="n">
        <v>83.566879</v>
      </c>
      <c r="N25" s="18" t="n">
        <v>37.255573</v>
      </c>
      <c r="O25" s="0" t="n">
        <v>2.11</v>
      </c>
    </row>
    <row r="26" customFormat="false" ht="15" hidden="false" customHeight="false" outlineLevel="0" collapsed="false">
      <c r="A26" s="17" t="n">
        <v>43373</v>
      </c>
      <c r="B26" s="18" t="n">
        <v>132.514572</v>
      </c>
      <c r="C26" s="18" t="n">
        <v>34.153461</v>
      </c>
      <c r="D26" s="18" t="n">
        <v>32.6744</v>
      </c>
      <c r="E26" s="18" t="n">
        <v>24.575777</v>
      </c>
      <c r="F26" s="18" t="n">
        <v>11.067225</v>
      </c>
      <c r="G26" s="18" t="n">
        <v>59.634499</v>
      </c>
      <c r="H26" s="18" t="n">
        <v>61.661755</v>
      </c>
      <c r="I26" s="18" t="n">
        <v>20.302395</v>
      </c>
      <c r="J26" s="18" t="n">
        <v>22.860001</v>
      </c>
      <c r="K26" s="18" t="n">
        <v>74.201622</v>
      </c>
      <c r="L26" s="18" t="n">
        <v>257.921783</v>
      </c>
      <c r="M26" s="18" t="n">
        <v>83.049004</v>
      </c>
      <c r="N26" s="18" t="n">
        <v>37.230827</v>
      </c>
      <c r="O26" s="0" t="n">
        <v>2.19</v>
      </c>
    </row>
    <row r="27" customFormat="false" ht="15" hidden="false" customHeight="false" outlineLevel="0" collapsed="false">
      <c r="A27" s="17" t="n">
        <v>43404</v>
      </c>
      <c r="B27" s="18" t="n">
        <v>122.694405</v>
      </c>
      <c r="C27" s="18" t="n">
        <v>31.217222</v>
      </c>
      <c r="D27" s="18" t="n">
        <v>30.17202</v>
      </c>
      <c r="E27" s="18" t="n">
        <v>24.476128</v>
      </c>
      <c r="F27" s="18" t="n">
        <v>11.001993</v>
      </c>
      <c r="G27" s="18" t="n">
        <v>57.89011</v>
      </c>
      <c r="H27" s="18" t="n">
        <v>61.130077</v>
      </c>
      <c r="I27" s="18" t="n">
        <v>20.001999</v>
      </c>
      <c r="J27" s="18" t="n">
        <v>23.34</v>
      </c>
      <c r="K27" s="18" t="n">
        <v>74.328209</v>
      </c>
      <c r="L27" s="18" t="n">
        <v>240.098419</v>
      </c>
      <c r="M27" s="18" t="n">
        <v>82.514084</v>
      </c>
      <c r="N27" s="18" t="n">
        <v>35.404861</v>
      </c>
      <c r="O27" s="0" t="n">
        <v>2.34</v>
      </c>
    </row>
    <row r="28" customFormat="false" ht="15" hidden="false" customHeight="false" outlineLevel="0" collapsed="false">
      <c r="A28" s="17" t="n">
        <v>43434</v>
      </c>
      <c r="B28" s="18" t="n">
        <v>125.164909</v>
      </c>
      <c r="C28" s="18" t="n">
        <v>31.375076</v>
      </c>
      <c r="D28" s="18" t="n">
        <v>31.630417</v>
      </c>
      <c r="E28" s="18" t="n">
        <v>23.50433</v>
      </c>
      <c r="F28" s="18" t="n">
        <v>10.487409</v>
      </c>
      <c r="G28" s="18" t="n">
        <v>60.595383</v>
      </c>
      <c r="H28" s="18" t="n">
        <v>61.519012</v>
      </c>
      <c r="I28" s="18" t="n">
        <v>20.085028</v>
      </c>
      <c r="J28" s="18" t="n">
        <v>23.42</v>
      </c>
      <c r="K28" s="18" t="n">
        <v>74.466377</v>
      </c>
      <c r="L28" s="18" t="n">
        <v>244.552032</v>
      </c>
      <c r="M28" s="18" t="n">
        <v>83.150742</v>
      </c>
      <c r="N28" s="18" t="n">
        <v>35.819038</v>
      </c>
      <c r="O28" s="0" t="n">
        <v>2.37</v>
      </c>
    </row>
    <row r="29" customFormat="false" ht="15" hidden="false" customHeight="false" outlineLevel="0" collapsed="false">
      <c r="A29" s="17" t="n">
        <v>43465</v>
      </c>
      <c r="B29" s="18" t="n">
        <v>113.679665</v>
      </c>
      <c r="C29" s="18" t="n">
        <v>29.593733</v>
      </c>
      <c r="D29" s="18" t="n">
        <v>30.572382</v>
      </c>
      <c r="E29" s="18" t="n">
        <v>24.15521</v>
      </c>
      <c r="F29" s="18" t="n">
        <v>9.982138</v>
      </c>
      <c r="G29" s="18" t="n">
        <v>55.776901</v>
      </c>
      <c r="H29" s="18" t="n">
        <v>62.672123</v>
      </c>
      <c r="I29" s="18" t="n">
        <v>20.199694</v>
      </c>
      <c r="J29" s="18" t="n">
        <v>24.58</v>
      </c>
      <c r="K29" s="18" t="n">
        <v>74.602493</v>
      </c>
      <c r="L29" s="18" t="n">
        <v>223.019531</v>
      </c>
      <c r="M29" s="18" t="n">
        <v>84.798111</v>
      </c>
      <c r="N29" s="18" t="n">
        <v>34.480106</v>
      </c>
      <c r="O29" s="0" t="n">
        <v>2.45</v>
      </c>
    </row>
    <row r="30" customFormat="false" ht="15" hidden="false" customHeight="false" outlineLevel="0" collapsed="false">
      <c r="A30" s="17" t="n">
        <v>43496</v>
      </c>
      <c r="B30" s="18" t="n">
        <v>123.38826</v>
      </c>
      <c r="C30" s="18" t="n">
        <v>31.803288</v>
      </c>
      <c r="D30" s="18" t="n">
        <v>33.525307</v>
      </c>
      <c r="E30" s="18" t="n">
        <v>26.696985</v>
      </c>
      <c r="F30" s="18" t="n">
        <v>10.368304</v>
      </c>
      <c r="G30" s="18" t="n">
        <v>62.389057</v>
      </c>
      <c r="H30" s="18" t="n">
        <v>63.368389</v>
      </c>
      <c r="I30" s="18" t="n">
        <v>20.506956</v>
      </c>
      <c r="J30" s="18" t="n">
        <v>25.280001</v>
      </c>
      <c r="K30" s="18" t="n">
        <v>74.732979</v>
      </c>
      <c r="L30" s="18" t="n">
        <v>240.875702</v>
      </c>
      <c r="M30" s="18" t="n">
        <v>85.570526</v>
      </c>
      <c r="N30" s="18" t="n">
        <v>36.174469</v>
      </c>
      <c r="O30" s="0" t="n">
        <v>2.41</v>
      </c>
    </row>
    <row r="31" customFormat="false" ht="15" hidden="false" customHeight="false" outlineLevel="0" collapsed="false">
      <c r="A31" s="17" t="n">
        <v>43524</v>
      </c>
      <c r="B31" s="18" t="n">
        <v>127.779404</v>
      </c>
      <c r="C31" s="18" t="n">
        <v>32.545132</v>
      </c>
      <c r="D31" s="18" t="n">
        <v>33.396915</v>
      </c>
      <c r="E31" s="18" t="n">
        <v>26.588295</v>
      </c>
      <c r="F31" s="18" t="n">
        <v>10.754477</v>
      </c>
      <c r="G31" s="18" t="n">
        <v>62.822899</v>
      </c>
      <c r="H31" s="18" t="n">
        <v>63.311226</v>
      </c>
      <c r="I31" s="18" t="n">
        <v>20.472813</v>
      </c>
      <c r="J31" s="18" t="n">
        <v>25.16</v>
      </c>
      <c r="K31" s="18" t="n">
        <v>74.871109</v>
      </c>
      <c r="L31" s="18" t="n">
        <v>248.684036</v>
      </c>
      <c r="M31" s="18" t="n">
        <v>85.473175</v>
      </c>
      <c r="N31" s="18" t="n">
        <v>36.758739</v>
      </c>
      <c r="O31" s="0" t="n">
        <v>2.45</v>
      </c>
    </row>
    <row r="32" customFormat="false" ht="15" hidden="false" customHeight="false" outlineLevel="0" collapsed="false">
      <c r="A32" s="17" t="n">
        <v>43555</v>
      </c>
      <c r="B32" s="18" t="n">
        <v>129.589661</v>
      </c>
      <c r="C32" s="18" t="n">
        <v>32.740948</v>
      </c>
      <c r="D32" s="18" t="n">
        <v>34.170002</v>
      </c>
      <c r="E32" s="18" t="n">
        <v>27.842461</v>
      </c>
      <c r="F32" s="18" t="n">
        <v>10.730432</v>
      </c>
      <c r="G32" s="18" t="n">
        <v>65.471779</v>
      </c>
      <c r="H32" s="18" t="n">
        <v>64.538765</v>
      </c>
      <c r="I32" s="18" t="n">
        <v>20.863535</v>
      </c>
      <c r="J32" s="18" t="n">
        <v>24.76</v>
      </c>
      <c r="K32" s="18" t="n">
        <v>75.002113</v>
      </c>
      <c r="L32" s="18" t="n">
        <v>253.185287</v>
      </c>
      <c r="M32" s="18" t="n">
        <v>87.287392</v>
      </c>
      <c r="N32" s="18" t="n">
        <v>37.30962</v>
      </c>
      <c r="O32" s="0" t="n">
        <v>2.4</v>
      </c>
    </row>
    <row r="33" customFormat="false" ht="15" hidden="false" customHeight="false" outlineLevel="0" collapsed="false">
      <c r="A33" s="17" t="n">
        <v>43585</v>
      </c>
      <c r="B33" s="18" t="n">
        <v>134.676132</v>
      </c>
      <c r="C33" s="18" t="n">
        <v>33.670238</v>
      </c>
      <c r="D33" s="18" t="n">
        <v>34.901646</v>
      </c>
      <c r="E33" s="18" t="n">
        <v>29.389259</v>
      </c>
      <c r="F33" s="18" t="n">
        <v>11.263784</v>
      </c>
      <c r="G33" s="18" t="n">
        <v>65.36631</v>
      </c>
      <c r="H33" s="18" t="n">
        <v>64.52282</v>
      </c>
      <c r="I33" s="18" t="n">
        <v>20.920429</v>
      </c>
      <c r="J33" s="18" t="n">
        <v>24.58</v>
      </c>
      <c r="K33" s="18" t="n">
        <v>75.146492</v>
      </c>
      <c r="L33" s="18" t="n">
        <v>263.528503</v>
      </c>
      <c r="M33" s="18" t="n">
        <v>87.112511</v>
      </c>
      <c r="N33" s="18" t="n">
        <v>38.147709</v>
      </c>
      <c r="O33" s="0" t="n">
        <v>2.43</v>
      </c>
    </row>
    <row r="34" customFormat="false" ht="15" hidden="false" customHeight="false" outlineLevel="0" collapsed="false">
      <c r="A34" s="17" t="n">
        <v>43616</v>
      </c>
      <c r="B34" s="18" t="n">
        <v>125.9897</v>
      </c>
      <c r="C34" s="18" t="n">
        <v>31.915819</v>
      </c>
      <c r="D34" s="18" t="n">
        <v>32.674561</v>
      </c>
      <c r="E34" s="18" t="n">
        <v>26.964539</v>
      </c>
      <c r="F34" s="18" t="n">
        <v>10.280872</v>
      </c>
      <c r="G34" s="18" t="n">
        <v>65.456741</v>
      </c>
      <c r="H34" s="18" t="n">
        <v>65.701149</v>
      </c>
      <c r="I34" s="18" t="n">
        <v>21.264723</v>
      </c>
      <c r="J34" s="18" t="n">
        <v>25.02</v>
      </c>
      <c r="K34" s="18" t="n">
        <v>75.306023</v>
      </c>
      <c r="L34" s="18" t="n">
        <v>246.722946</v>
      </c>
      <c r="M34" s="18" t="n">
        <v>88.777077</v>
      </c>
      <c r="N34" s="18" t="n">
        <v>36.982315</v>
      </c>
      <c r="O34" s="0" t="n">
        <v>2.35</v>
      </c>
    </row>
    <row r="35" customFormat="false" ht="15" hidden="false" customHeight="false" outlineLevel="0" collapsed="false">
      <c r="A35" s="17" t="n">
        <v>43646</v>
      </c>
      <c r="B35" s="18" t="n">
        <v>134.907318</v>
      </c>
      <c r="C35" s="18" t="n">
        <v>33.78587</v>
      </c>
      <c r="D35" s="18" t="n">
        <v>34.429802</v>
      </c>
      <c r="E35" s="18" t="n">
        <v>27.854431</v>
      </c>
      <c r="F35" s="18" t="n">
        <v>10.216645</v>
      </c>
      <c r="G35" s="18" t="n">
        <v>66.474113</v>
      </c>
      <c r="H35" s="18" t="n">
        <v>66.52034</v>
      </c>
      <c r="I35" s="18" t="n">
        <v>21.442938</v>
      </c>
      <c r="J35" s="18" t="n">
        <v>27</v>
      </c>
      <c r="K35" s="18" t="n">
        <v>75.442696</v>
      </c>
      <c r="L35" s="18" t="n">
        <v>263.891479</v>
      </c>
      <c r="M35" s="18" t="n">
        <v>89.75238</v>
      </c>
      <c r="N35" s="18" t="n">
        <v>38.583675</v>
      </c>
      <c r="O35" s="0" t="n">
        <v>2.12</v>
      </c>
    </row>
    <row r="36" customFormat="false" ht="15" hidden="false" customHeight="false" outlineLevel="0" collapsed="false">
      <c r="A36" s="17" t="n">
        <v>43677</v>
      </c>
      <c r="B36" s="18" t="n">
        <v>136.812912</v>
      </c>
      <c r="C36" s="18" t="n">
        <v>33.097359</v>
      </c>
      <c r="D36" s="18" t="n">
        <v>33.806446</v>
      </c>
      <c r="E36" s="18" t="n">
        <v>27.449528</v>
      </c>
      <c r="F36" s="18" t="n">
        <v>10.925693</v>
      </c>
      <c r="G36" s="18" t="n">
        <v>67.607368</v>
      </c>
      <c r="H36" s="18" t="n">
        <v>66.619911</v>
      </c>
      <c r="I36" s="18" t="n">
        <v>21.521338</v>
      </c>
      <c r="J36" s="18" t="n">
        <v>27.040001</v>
      </c>
      <c r="K36" s="18" t="n">
        <v>75.578796</v>
      </c>
      <c r="L36" s="18" t="n">
        <v>267.881409</v>
      </c>
      <c r="M36" s="18" t="n">
        <v>89.915596</v>
      </c>
      <c r="N36" s="18" t="n">
        <v>38.534065</v>
      </c>
      <c r="O36" s="0" t="n">
        <v>2.08</v>
      </c>
    </row>
    <row r="37" customFormat="false" ht="15" hidden="false" customHeight="false" outlineLevel="0" collapsed="false">
      <c r="A37" s="17" t="n">
        <v>43708</v>
      </c>
      <c r="B37" s="18" t="n">
        <v>133.963562</v>
      </c>
      <c r="C37" s="18" t="n">
        <v>32.473644</v>
      </c>
      <c r="D37" s="18" t="n">
        <v>32.705471</v>
      </c>
      <c r="E37" s="18" t="n">
        <v>25.559948</v>
      </c>
      <c r="F37" s="18" t="n">
        <v>10.514157</v>
      </c>
      <c r="G37" s="18" t="n">
        <v>70.140091</v>
      </c>
      <c r="H37" s="18" t="n">
        <v>68.464668</v>
      </c>
      <c r="I37" s="18" t="n">
        <v>22.004017</v>
      </c>
      <c r="J37" s="18" t="n">
        <v>29.120001</v>
      </c>
      <c r="K37" s="18" t="n">
        <v>75.706902</v>
      </c>
      <c r="L37" s="18" t="n">
        <v>263.396179</v>
      </c>
      <c r="M37" s="18" t="n">
        <v>92.41777</v>
      </c>
      <c r="N37" s="18" t="n">
        <v>38.517132</v>
      </c>
      <c r="O37" s="0" t="n">
        <v>1.99</v>
      </c>
    </row>
    <row r="38" customFormat="false" ht="15" hidden="false" customHeight="false" outlineLevel="0" collapsed="false">
      <c r="A38" s="17" t="n">
        <v>43738</v>
      </c>
      <c r="B38" s="18" t="n">
        <v>136.347153</v>
      </c>
      <c r="C38" s="18" t="n">
        <v>33.497322</v>
      </c>
      <c r="D38" s="18" t="n">
        <v>33.00338</v>
      </c>
      <c r="E38" s="18" t="n">
        <v>25.711782</v>
      </c>
      <c r="F38" s="18" t="n">
        <v>10.224195</v>
      </c>
      <c r="G38" s="18" t="n">
        <v>71.491737</v>
      </c>
      <c r="H38" s="18" t="n">
        <v>68.076042</v>
      </c>
      <c r="I38" s="18" t="n">
        <v>21.769674</v>
      </c>
      <c r="J38" s="18" t="n">
        <v>28.200001</v>
      </c>
      <c r="K38" s="18" t="n">
        <v>75.829437</v>
      </c>
      <c r="L38" s="18" t="n">
        <v>268.521332</v>
      </c>
      <c r="M38" s="18" t="n">
        <v>91.85202</v>
      </c>
      <c r="N38" s="18" t="n">
        <v>38.97406</v>
      </c>
      <c r="O38" s="0" t="n">
        <v>1.88</v>
      </c>
    </row>
    <row r="39" customFormat="false" ht="15" hidden="false" customHeight="false" outlineLevel="0" collapsed="false">
      <c r="A39" s="17" t="n">
        <v>43769</v>
      </c>
      <c r="B39" s="18" t="n">
        <v>139.218582</v>
      </c>
      <c r="C39" s="18" t="n">
        <v>34.573681</v>
      </c>
      <c r="D39" s="18" t="n">
        <v>34.306801</v>
      </c>
      <c r="E39" s="18" t="n">
        <v>24.31147</v>
      </c>
      <c r="F39" s="18" t="n">
        <v>10.46281</v>
      </c>
      <c r="G39" s="18" t="n">
        <v>72.296745</v>
      </c>
      <c r="H39" s="18" t="n">
        <v>68.287735</v>
      </c>
      <c r="I39" s="18" t="n">
        <v>21.756622</v>
      </c>
      <c r="J39" s="18" t="n">
        <v>28.92</v>
      </c>
      <c r="K39" s="18" t="n">
        <v>75.951317</v>
      </c>
      <c r="L39" s="18" t="n">
        <v>274.456818</v>
      </c>
      <c r="M39" s="18" t="n">
        <v>92.043175</v>
      </c>
      <c r="N39" s="18" t="n">
        <v>39.576801</v>
      </c>
      <c r="O39" s="0" t="n">
        <v>1.54</v>
      </c>
    </row>
    <row r="40" customFormat="false" ht="15" hidden="false" customHeight="false" outlineLevel="0" collapsed="false">
      <c r="A40" s="17" t="n">
        <v>43799</v>
      </c>
      <c r="B40" s="18" t="n">
        <v>144.491928</v>
      </c>
      <c r="C40" s="18" t="n">
        <v>35.038448</v>
      </c>
      <c r="D40" s="18" t="n">
        <v>34.478951</v>
      </c>
      <c r="E40" s="18" t="n">
        <v>24.758562</v>
      </c>
      <c r="F40" s="18" t="n">
        <v>10.141132</v>
      </c>
      <c r="G40" s="18" t="n">
        <v>71.353722</v>
      </c>
      <c r="H40" s="18" t="n">
        <v>68.259407</v>
      </c>
      <c r="I40" s="18" t="n">
        <v>21.80934</v>
      </c>
      <c r="J40" s="18" t="n">
        <v>27.959999</v>
      </c>
      <c r="K40" s="18" t="n">
        <v>76.033524</v>
      </c>
      <c r="L40" s="18" t="n">
        <v>284.391724</v>
      </c>
      <c r="M40" s="18" t="n">
        <v>92.011368</v>
      </c>
      <c r="N40" s="18" t="n">
        <v>40.137707</v>
      </c>
      <c r="O40" s="0" t="n">
        <v>1.59</v>
      </c>
    </row>
    <row r="41" customFormat="false" ht="15" hidden="false" customHeight="false" outlineLevel="0" collapsed="false">
      <c r="A41" s="17" t="n">
        <v>43830</v>
      </c>
      <c r="B41" s="18" t="n">
        <v>148.543701</v>
      </c>
      <c r="C41" s="18" t="n">
        <v>36.288177</v>
      </c>
      <c r="D41" s="18" t="n">
        <v>36.916229</v>
      </c>
      <c r="E41" s="18" t="n">
        <v>26.400558</v>
      </c>
      <c r="F41" s="18" t="n">
        <v>10.141132</v>
      </c>
      <c r="G41" s="18" t="n">
        <v>71.902458</v>
      </c>
      <c r="H41" s="18" t="n">
        <v>68.208443</v>
      </c>
      <c r="I41" s="18" t="n">
        <v>21.921661</v>
      </c>
      <c r="J41" s="18" t="n">
        <v>29</v>
      </c>
      <c r="K41" s="18" t="n">
        <v>76.118385</v>
      </c>
      <c r="L41" s="18" t="n">
        <v>292.654968</v>
      </c>
      <c r="M41" s="18" t="n">
        <v>91.968361</v>
      </c>
      <c r="N41" s="18" t="n">
        <v>40.999474</v>
      </c>
      <c r="O41" s="0" t="n">
        <v>1.55</v>
      </c>
    </row>
    <row r="42" customFormat="false" ht="15" hidden="false" customHeight="false" outlineLevel="0" collapsed="false">
      <c r="A42" s="17" t="n">
        <v>43861</v>
      </c>
      <c r="B42" s="18" t="n">
        <v>148.452911</v>
      </c>
      <c r="C42" s="18" t="n">
        <v>35.201023</v>
      </c>
      <c r="D42" s="18" t="n">
        <v>34.874084</v>
      </c>
      <c r="E42" s="18" t="n">
        <v>25.504032</v>
      </c>
      <c r="F42" s="18" t="n">
        <v>9.973497</v>
      </c>
      <c r="G42" s="18" t="n">
        <v>72.785828</v>
      </c>
      <c r="H42" s="18" t="n">
        <v>69.55864</v>
      </c>
      <c r="I42" s="18" t="n">
        <v>22.386187</v>
      </c>
      <c r="J42" s="18" t="n">
        <v>30.34</v>
      </c>
      <c r="K42" s="18" t="n">
        <v>76.209915</v>
      </c>
      <c r="L42" s="18" t="n">
        <v>292.536682</v>
      </c>
      <c r="M42" s="18" t="n">
        <v>93.834404</v>
      </c>
      <c r="N42" s="18" t="n">
        <v>40.828075</v>
      </c>
      <c r="O42" s="0" t="n">
        <v>1.55</v>
      </c>
    </row>
    <row r="43" customFormat="false" ht="15" hidden="false" customHeight="false" outlineLevel="0" collapsed="false">
      <c r="A43" s="17" t="n">
        <v>43890</v>
      </c>
      <c r="B43" s="18" t="n">
        <v>136.578094</v>
      </c>
      <c r="C43" s="18" t="n">
        <v>32.507824</v>
      </c>
      <c r="D43" s="18" t="n">
        <v>33.637188</v>
      </c>
      <c r="E43" s="18" t="n">
        <v>23.096218</v>
      </c>
      <c r="F43" s="18" t="n">
        <v>9.197243</v>
      </c>
      <c r="G43" s="18" t="n">
        <v>67.671509</v>
      </c>
      <c r="H43" s="18" t="n">
        <v>70.718513</v>
      </c>
      <c r="I43" s="18" t="n">
        <v>22.595221</v>
      </c>
      <c r="J43" s="18" t="n">
        <v>30.139999</v>
      </c>
      <c r="K43" s="18" t="n">
        <v>76.29995</v>
      </c>
      <c r="L43" s="18" t="n">
        <v>269.377808</v>
      </c>
      <c r="M43" s="18" t="n">
        <v>95.321396</v>
      </c>
      <c r="N43" s="18" t="n">
        <v>39.165451</v>
      </c>
      <c r="O43" s="0" t="n">
        <v>1.27</v>
      </c>
    </row>
    <row r="44" customFormat="false" ht="15" hidden="false" customHeight="false" outlineLevel="0" collapsed="false">
      <c r="A44" s="17" t="n">
        <v>43921</v>
      </c>
      <c r="B44" s="18" t="n">
        <v>117.613243</v>
      </c>
      <c r="C44" s="18" t="n">
        <v>27.581957</v>
      </c>
      <c r="D44" s="18" t="n">
        <v>27.903128</v>
      </c>
      <c r="E44" s="18" t="n">
        <v>20.432257</v>
      </c>
      <c r="F44" s="18" t="n">
        <v>7.067834</v>
      </c>
      <c r="G44" s="18" t="n">
        <v>54.548794</v>
      </c>
      <c r="H44" s="18" t="n">
        <v>69.708252</v>
      </c>
      <c r="I44" s="18" t="n">
        <v>22.262308</v>
      </c>
      <c r="J44" s="18" t="n">
        <v>30.139999</v>
      </c>
      <c r="K44" s="18" t="n">
        <v>76.455978</v>
      </c>
      <c r="L44" s="18" t="n">
        <v>235.740234</v>
      </c>
      <c r="M44" s="18" t="n">
        <v>94.819252</v>
      </c>
      <c r="N44" s="18" t="n">
        <v>35.463169</v>
      </c>
      <c r="O44" s="0" t="n">
        <v>0.11</v>
      </c>
    </row>
    <row r="45" customFormat="false" ht="15" hidden="false" customHeight="false" outlineLevel="0" collapsed="false">
      <c r="A45" s="17" t="n">
        <v>43951</v>
      </c>
      <c r="B45" s="18" t="n">
        <v>133.059647</v>
      </c>
      <c r="C45" s="18" t="n">
        <v>29.51782</v>
      </c>
      <c r="D45" s="18" t="n">
        <v>30.082148</v>
      </c>
      <c r="E45" s="18" t="n">
        <v>21.832546</v>
      </c>
      <c r="F45" s="18" t="n">
        <v>7.898454</v>
      </c>
      <c r="G45" s="18" t="n">
        <v>59.437481</v>
      </c>
      <c r="H45" s="18" t="n">
        <v>71.631828</v>
      </c>
      <c r="I45" s="18" t="n">
        <v>22.866192</v>
      </c>
      <c r="J45" s="18" t="n">
        <v>32.220001</v>
      </c>
      <c r="K45" s="18" t="n">
        <v>76.440987</v>
      </c>
      <c r="L45" s="18" t="n">
        <v>265.675446</v>
      </c>
      <c r="M45" s="18" t="n">
        <v>96.449226</v>
      </c>
      <c r="N45" s="18" t="n">
        <v>37.788021</v>
      </c>
      <c r="O45" s="0" t="n">
        <v>0.09</v>
      </c>
    </row>
    <row r="46" customFormat="false" ht="15" hidden="false" customHeight="false" outlineLevel="0" collapsed="false">
      <c r="A46" s="17" t="n">
        <v>43982</v>
      </c>
      <c r="B46" s="18" t="n">
        <v>140.239975</v>
      </c>
      <c r="C46" s="18" t="n">
        <v>31.164133</v>
      </c>
      <c r="D46" s="18" t="n">
        <v>31.071857</v>
      </c>
      <c r="E46" s="18" t="n">
        <v>22.822994</v>
      </c>
      <c r="F46" s="18" t="n">
        <v>7.792738</v>
      </c>
      <c r="G46" s="18" t="n">
        <v>60.46833</v>
      </c>
      <c r="H46" s="18" t="n">
        <v>72.110832</v>
      </c>
      <c r="I46" s="18" t="n">
        <v>22.978445</v>
      </c>
      <c r="J46" s="18" t="n">
        <v>33.060001</v>
      </c>
      <c r="K46" s="18" t="n">
        <v>76.427605</v>
      </c>
      <c r="L46" s="18" t="n">
        <v>278.333557</v>
      </c>
      <c r="M46" s="18" t="n">
        <v>97.097908</v>
      </c>
      <c r="N46" s="18" t="n">
        <v>39.096699</v>
      </c>
      <c r="O46" s="0" t="n">
        <v>0.14</v>
      </c>
    </row>
    <row r="47" customFormat="false" ht="15" hidden="false" customHeight="false" outlineLevel="0" collapsed="false">
      <c r="A47" s="17" t="n">
        <v>44012</v>
      </c>
      <c r="B47" s="18" t="n">
        <v>143.462891</v>
      </c>
      <c r="C47" s="18" t="n">
        <v>32.254204</v>
      </c>
      <c r="D47" s="18" t="n">
        <v>33.084438</v>
      </c>
      <c r="E47" s="18" t="n">
        <v>22.859592</v>
      </c>
      <c r="F47" s="18" t="n">
        <v>7.984324</v>
      </c>
      <c r="G47" s="18" t="n">
        <v>61.934616</v>
      </c>
      <c r="H47" s="18" t="n">
        <v>72.594864</v>
      </c>
      <c r="I47" s="18" t="n">
        <v>23.233938</v>
      </c>
      <c r="J47" s="18" t="n">
        <v>33.98</v>
      </c>
      <c r="K47" s="18" t="n">
        <v>76.427605</v>
      </c>
      <c r="L47" s="18" t="n">
        <v>283.269745</v>
      </c>
      <c r="M47" s="18" t="n">
        <v>97.737862</v>
      </c>
      <c r="N47" s="18" t="n">
        <v>39.940453</v>
      </c>
      <c r="O47" s="0" t="n">
        <v>0.16</v>
      </c>
    </row>
    <row r="48" customFormat="false" ht="15" hidden="false" customHeight="false" outlineLevel="0" collapsed="false">
      <c r="A48" s="17" t="n">
        <v>44043</v>
      </c>
      <c r="B48" s="18" t="n">
        <v>151.702469</v>
      </c>
      <c r="C48" s="18" t="n">
        <v>33.102345</v>
      </c>
      <c r="D48" s="18" t="n">
        <v>35.924305</v>
      </c>
      <c r="E48" s="18" t="n">
        <v>23.319914</v>
      </c>
      <c r="F48" s="18" t="n">
        <v>8.263217</v>
      </c>
      <c r="G48" s="18" t="n">
        <v>64.190231</v>
      </c>
      <c r="H48" s="18" t="n">
        <v>73.650307</v>
      </c>
      <c r="I48" s="18" t="n">
        <v>23.756525</v>
      </c>
      <c r="J48" s="18" t="n">
        <v>37.720001</v>
      </c>
      <c r="K48" s="18" t="n">
        <v>76.435944</v>
      </c>
      <c r="L48" s="18" t="n">
        <v>299.951965</v>
      </c>
      <c r="M48" s="18" t="n">
        <v>99.040909</v>
      </c>
      <c r="N48" s="18" t="n">
        <v>41.347488</v>
      </c>
      <c r="O48" s="0" t="n">
        <v>0.09</v>
      </c>
    </row>
    <row r="49" customFormat="false" ht="15" hidden="false" customHeight="false" outlineLevel="0" collapsed="false">
      <c r="A49" s="17" t="n">
        <v>44074</v>
      </c>
      <c r="B49" s="18" t="n">
        <v>162.480728</v>
      </c>
      <c r="C49" s="18" t="n">
        <v>34.815247</v>
      </c>
      <c r="D49" s="18" t="n">
        <v>36.909901</v>
      </c>
      <c r="E49" s="18" t="n">
        <v>25.074331</v>
      </c>
      <c r="F49" s="18" t="n">
        <v>8.573985</v>
      </c>
      <c r="G49" s="18" t="n">
        <v>64.474167</v>
      </c>
      <c r="H49" s="18" t="n">
        <v>72.956657</v>
      </c>
      <c r="I49" s="18" t="n">
        <v>23.973305</v>
      </c>
      <c r="J49" s="18" t="n">
        <v>37.540001</v>
      </c>
      <c r="K49" s="18" t="n">
        <v>76.435944</v>
      </c>
      <c r="L49" s="18" t="n">
        <v>320.887695</v>
      </c>
      <c r="M49" s="18" t="n">
        <v>98.225235</v>
      </c>
      <c r="N49" s="18" t="n">
        <v>42.777439</v>
      </c>
      <c r="O49" s="0" t="n">
        <v>0.11</v>
      </c>
    </row>
    <row r="50" customFormat="false" ht="15" hidden="false" customHeight="false" outlineLevel="0" collapsed="false">
      <c r="A50" s="17" t="n">
        <v>44104</v>
      </c>
      <c r="B50" s="18" t="n">
        <v>156.732849</v>
      </c>
      <c r="C50" s="18" t="n">
        <v>34.188675</v>
      </c>
      <c r="D50" s="18" t="n">
        <v>36.468533</v>
      </c>
      <c r="E50" s="18" t="n">
        <v>25.79521</v>
      </c>
      <c r="F50" s="18" t="n">
        <v>8.566018</v>
      </c>
      <c r="G50" s="18" t="n">
        <v>62.756371</v>
      </c>
      <c r="H50" s="18" t="n">
        <v>72.884811</v>
      </c>
      <c r="I50" s="18" t="n">
        <v>23.898081</v>
      </c>
      <c r="J50" s="18" t="n">
        <v>35.98</v>
      </c>
      <c r="K50" s="18" t="n">
        <v>76.419273</v>
      </c>
      <c r="L50" s="18" t="n">
        <v>308.872467</v>
      </c>
      <c r="M50" s="18" t="n">
        <v>98.129601</v>
      </c>
      <c r="N50" s="18" t="n">
        <v>41.980133</v>
      </c>
      <c r="O50" s="0" t="n">
        <v>0.1</v>
      </c>
    </row>
    <row r="51" customFormat="false" ht="15" hidden="false" customHeight="false" outlineLevel="0" collapsed="false">
      <c r="A51" s="17" t="n">
        <v>44135</v>
      </c>
      <c r="B51" s="18" t="n">
        <v>153.677475</v>
      </c>
      <c r="C51" s="18" t="n">
        <v>32.976604</v>
      </c>
      <c r="D51" s="18" t="n">
        <v>36.949268</v>
      </c>
      <c r="E51" s="18" t="n">
        <v>24.596642</v>
      </c>
      <c r="F51" s="18" t="n">
        <v>8.362824</v>
      </c>
      <c r="G51" s="18" t="n">
        <v>60.872734</v>
      </c>
      <c r="H51" s="18" t="n">
        <v>72.479279</v>
      </c>
      <c r="I51" s="18" t="n">
        <v>23.741753</v>
      </c>
      <c r="J51" s="18" t="n">
        <v>35.779999</v>
      </c>
      <c r="K51" s="18" t="n">
        <v>76.427605</v>
      </c>
      <c r="L51" s="18" t="n">
        <v>301.171112</v>
      </c>
      <c r="M51" s="18" t="n">
        <v>97.581749</v>
      </c>
      <c r="N51" s="18" t="n">
        <v>41.303062</v>
      </c>
      <c r="O51" s="0" t="n">
        <v>0.09</v>
      </c>
    </row>
    <row r="52" customFormat="false" ht="15" hidden="false" customHeight="false" outlineLevel="0" collapsed="false">
      <c r="A52" s="17" t="n">
        <v>44165</v>
      </c>
      <c r="B52" s="18" t="n">
        <v>171.816223</v>
      </c>
      <c r="C52" s="18" t="n">
        <v>37.691128</v>
      </c>
      <c r="D52" s="18" t="n">
        <v>40.112003</v>
      </c>
      <c r="E52" s="18" t="n">
        <v>27.14142</v>
      </c>
      <c r="F52" s="18" t="n">
        <v>9.370824</v>
      </c>
      <c r="G52" s="18" t="n">
        <v>66.7621</v>
      </c>
      <c r="H52" s="18" t="n">
        <v>73.358864</v>
      </c>
      <c r="I52" s="18" t="n">
        <v>24.001844</v>
      </c>
      <c r="J52" s="18" t="n">
        <v>33.900002</v>
      </c>
      <c r="K52" s="18" t="n">
        <v>76.419273</v>
      </c>
      <c r="L52" s="18" t="n">
        <v>333.931641</v>
      </c>
      <c r="M52" s="18" t="n">
        <v>98.759331</v>
      </c>
      <c r="N52" s="18" t="n">
        <v>44.416004</v>
      </c>
      <c r="O52" s="0" t="n">
        <v>0.08</v>
      </c>
    </row>
    <row r="53" customFormat="false" ht="15" hidden="false" customHeight="false" outlineLevel="0" collapsed="false">
      <c r="A53" s="17" t="n">
        <v>44196</v>
      </c>
      <c r="B53" s="18" t="n">
        <v>179.850952</v>
      </c>
      <c r="C53" s="18" t="n">
        <v>39.813152</v>
      </c>
      <c r="D53" s="18" t="n">
        <v>42.518471</v>
      </c>
      <c r="E53" s="18" t="n">
        <v>27.101458</v>
      </c>
      <c r="F53" s="18" t="n">
        <v>9.408868</v>
      </c>
      <c r="G53" s="18" t="n">
        <v>68.587402</v>
      </c>
      <c r="H53" s="18" t="n">
        <v>73.470764</v>
      </c>
      <c r="I53" s="18" t="n">
        <v>24.302935</v>
      </c>
      <c r="J53" s="18" t="n">
        <v>36.259998</v>
      </c>
      <c r="K53" s="18" t="n">
        <v>76.421776</v>
      </c>
      <c r="L53" s="18" t="n">
        <v>346.303284</v>
      </c>
      <c r="M53" s="18" t="n">
        <v>98.844009</v>
      </c>
      <c r="N53" s="18" t="n">
        <v>45.683197</v>
      </c>
      <c r="O53" s="0" t="n">
        <v>0.09</v>
      </c>
    </row>
    <row r="54" customFormat="false" ht="15" hidden="false" customHeight="false" outlineLevel="0" collapsed="false">
      <c r="A54" s="17" t="n">
        <v>44227</v>
      </c>
      <c r="B54" s="18" t="n">
        <v>179.25032</v>
      </c>
      <c r="C54" s="18" t="n">
        <v>39.526424</v>
      </c>
      <c r="D54" s="18" t="n">
        <v>43.850636</v>
      </c>
      <c r="E54" s="18" t="n">
        <v>27.136301</v>
      </c>
      <c r="F54" s="18" t="n">
        <v>10.35454</v>
      </c>
      <c r="G54" s="18" t="n">
        <v>68.611641</v>
      </c>
      <c r="H54" s="18" t="n">
        <v>72.837601</v>
      </c>
      <c r="I54" s="18" t="n">
        <v>24.373396</v>
      </c>
      <c r="J54" s="18" t="n">
        <v>35.099998</v>
      </c>
      <c r="K54" s="18" t="n">
        <v>76.421776</v>
      </c>
      <c r="L54" s="18" t="n">
        <v>342.774353</v>
      </c>
      <c r="M54" s="18" t="n">
        <v>98.108032</v>
      </c>
      <c r="N54" s="18" t="n">
        <v>45.551929</v>
      </c>
      <c r="O54" s="0" t="n">
        <v>0.06</v>
      </c>
    </row>
    <row r="55" customFormat="false" ht="15" hidden="false" customHeight="false" outlineLevel="0" collapsed="false">
      <c r="A55" s="17" t="n">
        <v>44255</v>
      </c>
      <c r="B55" s="18" t="n">
        <v>184.877579</v>
      </c>
      <c r="C55" s="18" t="n">
        <v>40.487812</v>
      </c>
      <c r="D55" s="18" t="n">
        <v>44.537914</v>
      </c>
      <c r="E55" s="18" t="n">
        <v>27.998739</v>
      </c>
      <c r="F55" s="18" t="n">
        <v>10.214204</v>
      </c>
      <c r="G55" s="18" t="n">
        <v>70.961693</v>
      </c>
      <c r="H55" s="18" t="n">
        <v>71.710281</v>
      </c>
      <c r="I55" s="18" t="n">
        <v>23.981924</v>
      </c>
      <c r="J55" s="18" t="n">
        <v>32.880001</v>
      </c>
      <c r="K55" s="18" t="n">
        <v>76.413414</v>
      </c>
      <c r="L55" s="18" t="n">
        <v>352.305267</v>
      </c>
      <c r="M55" s="18" t="n">
        <v>96.618622</v>
      </c>
      <c r="N55" s="18" t="n">
        <v>46.08577</v>
      </c>
      <c r="O55" s="0" t="n">
        <v>0.04</v>
      </c>
    </row>
    <row r="56" customFormat="false" ht="15" hidden="false" customHeight="false" outlineLevel="0" collapsed="false">
      <c r="A56" s="17" t="n">
        <v>44286</v>
      </c>
      <c r="B56" s="18" t="n">
        <v>191.621811</v>
      </c>
      <c r="C56" s="18" t="n">
        <v>41.608715</v>
      </c>
      <c r="D56" s="18" t="n">
        <v>44.221519</v>
      </c>
      <c r="E56" s="18" t="n">
        <v>31.300394</v>
      </c>
      <c r="F56" s="18" t="n">
        <v>10.684647</v>
      </c>
      <c r="G56" s="18" t="n">
        <v>74.617668</v>
      </c>
      <c r="H56" s="18" t="n">
        <v>70.798599</v>
      </c>
      <c r="I56" s="18" t="n">
        <v>23.94278</v>
      </c>
      <c r="J56" s="18" t="n">
        <v>32.52</v>
      </c>
      <c r="K56" s="18" t="n">
        <v>76.405052</v>
      </c>
      <c r="L56" s="18" t="n">
        <v>368.299683</v>
      </c>
      <c r="M56" s="18" t="n">
        <v>95.511063</v>
      </c>
      <c r="N56" s="18" t="n">
        <v>46.873417</v>
      </c>
      <c r="O56" s="0" t="n">
        <v>0.03</v>
      </c>
    </row>
    <row r="57" customFormat="false" ht="15" hidden="false" customHeight="false" outlineLevel="0" collapsed="false">
      <c r="A57" s="17" t="n">
        <v>44316</v>
      </c>
      <c r="B57" s="18" t="n">
        <v>201.272858</v>
      </c>
      <c r="C57" s="18" t="n">
        <v>42.879585</v>
      </c>
      <c r="D57" s="18" t="n">
        <v>45.011642</v>
      </c>
      <c r="E57" s="18" t="n">
        <v>32.912018</v>
      </c>
      <c r="F57" s="18" t="n">
        <v>10.724514</v>
      </c>
      <c r="G57" s="18" t="n">
        <v>80.482437</v>
      </c>
      <c r="H57" s="18" t="n">
        <v>71.41172</v>
      </c>
      <c r="I57" s="18" t="n">
        <v>24.273693</v>
      </c>
      <c r="J57" s="18" t="n">
        <v>33.700001</v>
      </c>
      <c r="K57" s="18" t="n">
        <v>76.405052</v>
      </c>
      <c r="L57" s="18" t="n">
        <v>387.786621</v>
      </c>
      <c r="M57" s="18" t="n">
        <v>96.210205</v>
      </c>
      <c r="N57" s="18" t="n">
        <v>48.130142</v>
      </c>
      <c r="O57" s="0" t="n">
        <v>0.01</v>
      </c>
    </row>
    <row r="58" customFormat="false" ht="15" hidden="false" customHeight="false" outlineLevel="0" collapsed="false">
      <c r="A58" s="17" t="n">
        <v>44347</v>
      </c>
      <c r="B58" s="18" t="n">
        <v>202.190659</v>
      </c>
      <c r="C58" s="18" t="n">
        <v>44.413113</v>
      </c>
      <c r="D58" s="18" t="n">
        <v>45.776283</v>
      </c>
      <c r="E58" s="18" t="n">
        <v>33.574093</v>
      </c>
      <c r="F58" s="18" t="n">
        <v>11.848794</v>
      </c>
      <c r="G58" s="18" t="n">
        <v>81.132278</v>
      </c>
      <c r="H58" s="18" t="n">
        <v>71.521614</v>
      </c>
      <c r="I58" s="18" t="n">
        <v>24.529688</v>
      </c>
      <c r="J58" s="18" t="n">
        <v>36.259998</v>
      </c>
      <c r="K58" s="18" t="n">
        <v>76.396721</v>
      </c>
      <c r="L58" s="18" t="n">
        <v>390.332886</v>
      </c>
      <c r="M58" s="18" t="n">
        <v>96.406334</v>
      </c>
      <c r="N58" s="18" t="n">
        <v>48.752823</v>
      </c>
      <c r="O58" s="0" t="n">
        <v>0.01</v>
      </c>
    </row>
    <row r="59" customFormat="false" ht="15" hidden="false" customHeight="false" outlineLevel="0" collapsed="false">
      <c r="A59" s="17" t="n">
        <v>44377</v>
      </c>
      <c r="B59" s="18" t="n">
        <v>207.20903</v>
      </c>
      <c r="C59" s="18" t="n">
        <v>44.003929</v>
      </c>
      <c r="D59" s="18" t="n">
        <v>46.383636</v>
      </c>
      <c r="E59" s="18" t="n">
        <v>34.665108</v>
      </c>
      <c r="F59" s="18" t="n">
        <v>11.665856</v>
      </c>
      <c r="G59" s="18" t="n">
        <v>83.272171</v>
      </c>
      <c r="H59" s="18" t="n">
        <v>72.163475</v>
      </c>
      <c r="I59" s="18" t="n">
        <v>24.686068</v>
      </c>
      <c r="J59" s="18" t="n">
        <v>33.709999</v>
      </c>
      <c r="K59" s="18" t="n">
        <v>76.380013</v>
      </c>
      <c r="L59" s="18" t="n">
        <v>399.087006</v>
      </c>
      <c r="M59" s="18" t="n">
        <v>97.204521</v>
      </c>
      <c r="N59" s="18" t="n">
        <v>49.1124</v>
      </c>
      <c r="O59" s="0" t="n">
        <v>0.05</v>
      </c>
    </row>
    <row r="60" customFormat="false" ht="15" hidden="false" customHeight="false" outlineLevel="0" collapsed="false">
      <c r="A60" s="17" t="n">
        <v>44408</v>
      </c>
      <c r="B60" s="18" t="n">
        <v>210.807877</v>
      </c>
      <c r="C60" s="18" t="n">
        <v>44.225986</v>
      </c>
      <c r="D60" s="18" t="n">
        <v>43.650665</v>
      </c>
      <c r="E60" s="18" t="n">
        <v>34.946514</v>
      </c>
      <c r="F60" s="18" t="n">
        <v>11.674112</v>
      </c>
      <c r="G60" s="18" t="n">
        <v>86.953506</v>
      </c>
      <c r="H60" s="18" t="n">
        <v>73.006653</v>
      </c>
      <c r="I60" s="18" t="n">
        <v>25.360069</v>
      </c>
      <c r="J60" s="18" t="n">
        <v>34.560001</v>
      </c>
      <c r="K60" s="18" t="n">
        <v>76.371658</v>
      </c>
      <c r="L60" s="18" t="n">
        <v>408.829651</v>
      </c>
      <c r="M60" s="18" t="n">
        <v>98.289803</v>
      </c>
      <c r="N60" s="18" t="n">
        <v>49.513054</v>
      </c>
      <c r="O60" s="0" t="n">
        <v>0.06</v>
      </c>
    </row>
    <row r="61" customFormat="false" ht="15" hidden="false" customHeight="false" outlineLevel="0" collapsed="false">
      <c r="A61" s="17" t="n">
        <v>44439</v>
      </c>
      <c r="B61" s="18" t="n">
        <v>216.833908</v>
      </c>
      <c r="C61" s="18" t="n">
        <v>44.806782</v>
      </c>
      <c r="D61" s="18" t="n">
        <v>44.607201</v>
      </c>
      <c r="E61" s="18" t="n">
        <v>36.256786</v>
      </c>
      <c r="F61" s="18" t="n">
        <v>12.309833</v>
      </c>
      <c r="G61" s="18" t="n">
        <v>88.826904</v>
      </c>
      <c r="H61" s="18" t="n">
        <v>72.868431</v>
      </c>
      <c r="I61" s="18" t="n">
        <v>25.332527</v>
      </c>
      <c r="J61" s="18" t="n">
        <v>34.529999</v>
      </c>
      <c r="K61" s="18" t="n">
        <v>76.363312</v>
      </c>
      <c r="L61" s="18" t="n">
        <v>420.996399</v>
      </c>
      <c r="M61" s="18" t="n">
        <v>98.092941</v>
      </c>
      <c r="N61" s="18" t="n">
        <v>50.323879</v>
      </c>
      <c r="O61" s="0" t="n">
        <v>0.04</v>
      </c>
    </row>
    <row r="62" customFormat="false" ht="15" hidden="false" customHeight="false" outlineLevel="0" collapsed="false">
      <c r="A62" s="17" t="n">
        <v>44469</v>
      </c>
      <c r="B62" s="18" t="n">
        <v>207.154114</v>
      </c>
      <c r="C62" s="18" t="n">
        <v>43.289818</v>
      </c>
      <c r="D62" s="18" t="n">
        <v>43.107517</v>
      </c>
      <c r="E62" s="18" t="n">
        <v>36.758022</v>
      </c>
      <c r="F62" s="18" t="n">
        <v>12.25204</v>
      </c>
      <c r="G62" s="18" t="n">
        <v>83.780251</v>
      </c>
      <c r="H62" s="18" t="n">
        <v>72.129814</v>
      </c>
      <c r="I62" s="18" t="n">
        <v>25.142488</v>
      </c>
      <c r="J62" s="18" t="n">
        <v>33.41</v>
      </c>
      <c r="K62" s="18" t="n">
        <v>76.371658</v>
      </c>
      <c r="L62" s="18" t="n">
        <v>401.375641</v>
      </c>
      <c r="M62" s="18" t="n">
        <v>97.193169</v>
      </c>
      <c r="N62" s="18" t="n">
        <v>48.887314</v>
      </c>
      <c r="O62" s="0" t="n">
        <v>0.04</v>
      </c>
    </row>
    <row r="63" customFormat="false" ht="15" hidden="false" customHeight="false" outlineLevel="0" collapsed="false">
      <c r="A63" s="17" t="n">
        <v>44500</v>
      </c>
      <c r="B63" s="18" t="n">
        <v>221.007324</v>
      </c>
      <c r="C63" s="18" t="n">
        <v>44.687366</v>
      </c>
      <c r="D63" s="18" t="n">
        <v>43.667805</v>
      </c>
      <c r="E63" s="18" t="n">
        <v>38.024338</v>
      </c>
      <c r="F63" s="18" t="n">
        <v>12.219016</v>
      </c>
      <c r="G63" s="18" t="n">
        <v>89.756325</v>
      </c>
      <c r="H63" s="18" t="n">
        <v>72.180511</v>
      </c>
      <c r="I63" s="18" t="n">
        <v>25.423042</v>
      </c>
      <c r="J63" s="18" t="n">
        <v>33.93</v>
      </c>
      <c r="K63" s="18" t="n">
        <v>76.363312</v>
      </c>
      <c r="L63" s="18" t="n">
        <v>429.53772</v>
      </c>
      <c r="M63" s="18" t="n">
        <v>97.184715</v>
      </c>
      <c r="N63" s="18" t="n">
        <v>50.271946</v>
      </c>
      <c r="O63" s="0" t="n">
        <v>0.05</v>
      </c>
    </row>
    <row r="64" customFormat="false" ht="15" hidden="false" customHeight="false" outlineLevel="0" collapsed="false">
      <c r="A64" s="17" t="n">
        <v>44530</v>
      </c>
      <c r="B64" s="18" t="n">
        <v>217.77951</v>
      </c>
      <c r="C64" s="18" t="n">
        <v>42.612476</v>
      </c>
      <c r="D64" s="18" t="n">
        <v>42.400688</v>
      </c>
      <c r="E64" s="18" t="n">
        <v>34.638725</v>
      </c>
      <c r="F64" s="18" t="n">
        <v>13.688598</v>
      </c>
      <c r="G64" s="18" t="n">
        <v>87.863068</v>
      </c>
      <c r="H64" s="18" t="n">
        <v>72.327881</v>
      </c>
      <c r="I64" s="18" t="n">
        <v>25.623411</v>
      </c>
      <c r="J64" s="18" t="n">
        <v>33.68</v>
      </c>
      <c r="K64" s="18" t="n">
        <v>76.346611</v>
      </c>
      <c r="L64" s="18" t="n">
        <v>426.086365</v>
      </c>
      <c r="M64" s="18" t="n">
        <v>97.447899</v>
      </c>
      <c r="N64" s="18" t="n">
        <v>49.679985</v>
      </c>
      <c r="O64" s="0" t="n">
        <v>0.05</v>
      </c>
    </row>
    <row r="65" customFormat="false" ht="15" hidden="false" customHeight="false" outlineLevel="0" collapsed="false">
      <c r="A65" s="17" t="n">
        <v>44561</v>
      </c>
      <c r="B65" s="18" t="n">
        <v>226.039978</v>
      </c>
      <c r="C65" s="18" t="n">
        <v>44.456985</v>
      </c>
      <c r="D65" s="18" t="n">
        <v>43.053753</v>
      </c>
      <c r="E65" s="18" t="n">
        <v>36.214046</v>
      </c>
      <c r="F65" s="18" t="n">
        <v>13.563724</v>
      </c>
      <c r="G65" s="18" t="n">
        <v>96.390709</v>
      </c>
      <c r="H65" s="18" t="n">
        <v>72.103401</v>
      </c>
      <c r="I65" s="18" t="n">
        <v>25.729105</v>
      </c>
      <c r="J65" s="18" t="n">
        <v>34.810001</v>
      </c>
      <c r="K65" s="18" t="n">
        <v>76.346611</v>
      </c>
      <c r="L65" s="18" t="n">
        <v>445.791931</v>
      </c>
      <c r="M65" s="18" t="n">
        <v>97.098343</v>
      </c>
      <c r="N65" s="18" t="n">
        <v>50.79353</v>
      </c>
      <c r="O65" s="0" t="n">
        <v>0.06</v>
      </c>
    </row>
    <row r="66" customFormat="false" ht="15" hidden="false" customHeight="false" outlineLevel="0" collapsed="false">
      <c r="A66" s="17" t="n">
        <v>44592</v>
      </c>
      <c r="B66" s="18" t="n">
        <v>212.343124</v>
      </c>
      <c r="C66" s="18" t="n">
        <v>42.741749</v>
      </c>
      <c r="D66" s="18" t="n">
        <v>43.236568</v>
      </c>
      <c r="E66" s="18" t="n">
        <v>40.323437</v>
      </c>
      <c r="F66" s="18" t="n">
        <v>14.033753</v>
      </c>
      <c r="G66" s="18" t="n">
        <v>88.272995</v>
      </c>
      <c r="H66" s="18" t="n">
        <v>70.61454</v>
      </c>
      <c r="I66" s="18" t="n">
        <v>25.213625</v>
      </c>
      <c r="J66" s="18" t="n">
        <v>34.220001</v>
      </c>
      <c r="K66" s="18" t="n">
        <v>76.346611</v>
      </c>
      <c r="L66" s="18" t="n">
        <v>422.280304</v>
      </c>
      <c r="M66" s="18" t="n">
        <v>95.157753</v>
      </c>
      <c r="N66" s="18" t="n">
        <v>49.076092</v>
      </c>
      <c r="O66" s="0" t="n">
        <v>0.22</v>
      </c>
    </row>
    <row r="67" customFormat="false" ht="15" hidden="false" customHeight="false" outlineLevel="0" collapsed="false">
      <c r="A67" s="17" t="n">
        <v>44620</v>
      </c>
      <c r="B67" s="18" t="n">
        <v>207.062866</v>
      </c>
      <c r="C67" s="18" t="n">
        <v>41.609856</v>
      </c>
      <c r="D67" s="18" t="n">
        <v>41.626179</v>
      </c>
      <c r="E67" s="18" t="n">
        <v>41.262226</v>
      </c>
      <c r="F67" s="18" t="n">
        <v>14.722011</v>
      </c>
      <c r="G67" s="18" t="n">
        <v>85.19873</v>
      </c>
      <c r="H67" s="18" t="n">
        <v>69.810928</v>
      </c>
      <c r="I67" s="18" t="n">
        <v>25.417343</v>
      </c>
      <c r="J67" s="18" t="n">
        <v>36.310001</v>
      </c>
      <c r="K67" s="18" t="n">
        <v>76.329887</v>
      </c>
      <c r="L67" s="18" t="n">
        <v>409.815857</v>
      </c>
      <c r="M67" s="18" t="n">
        <v>94.067566</v>
      </c>
      <c r="N67" s="18" t="n">
        <v>48.09724</v>
      </c>
      <c r="O67" s="0" t="n">
        <v>0.35</v>
      </c>
    </row>
    <row r="68" customFormat="false" ht="15" hidden="false" customHeight="false" outlineLevel="0" collapsed="false">
      <c r="A68" s="17" t="n">
        <v>44651</v>
      </c>
      <c r="B68" s="18" t="n">
        <v>213.813019</v>
      </c>
      <c r="C68" s="18" t="n">
        <v>41.890907</v>
      </c>
      <c r="D68" s="18" t="n">
        <v>40.271122</v>
      </c>
      <c r="E68" s="18" t="n">
        <v>42.032726</v>
      </c>
      <c r="F68" s="18" t="n">
        <v>15.947448</v>
      </c>
      <c r="G68" s="18" t="n">
        <v>90.5355</v>
      </c>
      <c r="H68" s="18" t="n">
        <v>67.889648</v>
      </c>
      <c r="I68" s="18" t="n">
        <v>24.934748</v>
      </c>
      <c r="J68" s="18" t="n">
        <v>36.830002</v>
      </c>
      <c r="K68" s="18" t="n">
        <v>76.365021</v>
      </c>
      <c r="L68" s="18" t="n">
        <v>425.220978</v>
      </c>
      <c r="M68" s="18" t="n">
        <v>91.422218</v>
      </c>
      <c r="N68" s="18" t="n">
        <v>48.017155</v>
      </c>
      <c r="O68" s="0" t="n">
        <v>0.52</v>
      </c>
    </row>
    <row r="69" customFormat="false" ht="15" hidden="false" customHeight="false" outlineLevel="0" collapsed="false">
      <c r="A69" s="17" t="n">
        <v>44681</v>
      </c>
      <c r="B69" s="18" t="n">
        <v>194.288422</v>
      </c>
      <c r="C69" s="18" t="n">
        <v>39.0476</v>
      </c>
      <c r="D69" s="18" t="n">
        <v>37.922775</v>
      </c>
      <c r="E69" s="18" t="n">
        <v>44.875648</v>
      </c>
      <c r="F69" s="18" t="n">
        <v>15.796366</v>
      </c>
      <c r="G69" s="18" t="n">
        <v>86.834564</v>
      </c>
      <c r="H69" s="18" t="n">
        <v>65.192604</v>
      </c>
      <c r="I69" s="18" t="n">
        <v>24.390982</v>
      </c>
      <c r="J69" s="18" t="n">
        <v>36.040001</v>
      </c>
      <c r="K69" s="18" t="n">
        <v>76.356644</v>
      </c>
      <c r="L69" s="18" t="n">
        <v>387.899719</v>
      </c>
      <c r="M69" s="18" t="n">
        <v>87.942802</v>
      </c>
      <c r="N69" s="18" t="n">
        <v>45.116489</v>
      </c>
      <c r="O69" s="0" t="n">
        <v>0.85</v>
      </c>
    </row>
    <row r="70" customFormat="false" ht="15" hidden="false" customHeight="false" outlineLevel="0" collapsed="false">
      <c r="A70" s="17" t="n">
        <v>44712</v>
      </c>
      <c r="B70" s="18" t="n">
        <v>193.800049</v>
      </c>
      <c r="C70" s="18" t="n">
        <v>39.693012</v>
      </c>
      <c r="D70" s="18" t="n">
        <v>38.097378</v>
      </c>
      <c r="E70" s="18" t="n">
        <v>41.421631</v>
      </c>
      <c r="F70" s="18" t="n">
        <v>14.562538</v>
      </c>
      <c r="G70" s="18" t="n">
        <v>82.766006</v>
      </c>
      <c r="H70" s="18" t="n">
        <v>65.733528</v>
      </c>
      <c r="I70" s="18" t="n">
        <v>24.1684</v>
      </c>
      <c r="J70" s="18" t="n">
        <v>34.869999</v>
      </c>
      <c r="K70" s="18" t="n">
        <v>76.381683</v>
      </c>
      <c r="L70" s="18" t="n">
        <v>388.77533</v>
      </c>
      <c r="M70" s="18" t="n">
        <v>88.611656</v>
      </c>
      <c r="N70" s="18" t="n">
        <v>45.339573</v>
      </c>
      <c r="O70" s="0" t="n">
        <v>1.16</v>
      </c>
    </row>
    <row r="71" customFormat="false" ht="15" hidden="false" customHeight="false" outlineLevel="0" collapsed="false">
      <c r="A71" s="17" t="n">
        <v>44742</v>
      </c>
      <c r="B71" s="18" t="n">
        <v>177.847824</v>
      </c>
      <c r="C71" s="18" t="n">
        <v>36.053139</v>
      </c>
      <c r="D71" s="18" t="n">
        <v>36.630547</v>
      </c>
      <c r="E71" s="18" t="n">
        <v>36.924866</v>
      </c>
      <c r="F71" s="18" t="n">
        <v>13.324008</v>
      </c>
      <c r="G71" s="18" t="n">
        <v>76.600853</v>
      </c>
      <c r="H71" s="18" t="n">
        <v>64.641037</v>
      </c>
      <c r="I71" s="18" t="n">
        <v>23.415173</v>
      </c>
      <c r="J71" s="18" t="n">
        <v>34.310001</v>
      </c>
      <c r="K71" s="18" t="n">
        <v>76.44101</v>
      </c>
      <c r="L71" s="18" t="n">
        <v>356.716766</v>
      </c>
      <c r="M71" s="18" t="n">
        <v>87.235497</v>
      </c>
      <c r="N71" s="18" t="n">
        <v>42.832111</v>
      </c>
      <c r="O71" s="0" t="n">
        <v>1.72</v>
      </c>
    </row>
    <row r="72" customFormat="false" ht="15" hidden="false" customHeight="false" outlineLevel="0" collapsed="false">
      <c r="A72" s="17" t="n">
        <v>44773</v>
      </c>
      <c r="B72" s="18" t="n">
        <v>194.470978</v>
      </c>
      <c r="C72" s="18" t="n">
        <v>37.961834</v>
      </c>
      <c r="D72" s="18" t="n">
        <v>36.340317</v>
      </c>
      <c r="E72" s="18" t="n">
        <v>39.315746</v>
      </c>
      <c r="F72" s="18" t="n">
        <v>14.147643</v>
      </c>
      <c r="G72" s="18" t="n">
        <v>83.20076</v>
      </c>
      <c r="H72" s="18" t="n">
        <v>66.180618</v>
      </c>
      <c r="I72" s="18" t="n">
        <v>24.451885</v>
      </c>
      <c r="J72" s="18" t="n">
        <v>33.450001</v>
      </c>
      <c r="K72" s="18" t="n">
        <v>76.468605</v>
      </c>
      <c r="L72" s="18" t="n">
        <v>389.565887</v>
      </c>
      <c r="M72" s="18" t="n">
        <v>89.449623</v>
      </c>
      <c r="N72" s="18" t="n">
        <v>45.035641</v>
      </c>
      <c r="O72" s="0" t="n">
        <v>2.41</v>
      </c>
    </row>
    <row r="73" customFormat="false" ht="15" hidden="false" customHeight="false" outlineLevel="0" collapsed="false">
      <c r="A73" s="17" t="n">
        <v>44804</v>
      </c>
      <c r="B73" s="18" t="n">
        <v>187.220169</v>
      </c>
      <c r="C73" s="18" t="n">
        <v>35.752701</v>
      </c>
      <c r="D73" s="18" t="n">
        <v>36.173199</v>
      </c>
      <c r="E73" s="18" t="n">
        <v>39.556622</v>
      </c>
      <c r="F73" s="18" t="n">
        <v>14.00179</v>
      </c>
      <c r="G73" s="18" t="n">
        <v>78.198288</v>
      </c>
      <c r="H73" s="18" t="n">
        <v>64.329239</v>
      </c>
      <c r="I73" s="18" t="n">
        <v>23.798868</v>
      </c>
      <c r="J73" s="18" t="n">
        <v>32.459999</v>
      </c>
      <c r="K73" s="18" t="n">
        <v>76.616737</v>
      </c>
      <c r="L73" s="18" t="n">
        <v>373.670776</v>
      </c>
      <c r="M73" s="18" t="n">
        <v>86.728302</v>
      </c>
      <c r="N73" s="18" t="n">
        <v>43.327698</v>
      </c>
      <c r="O73" s="0" t="n">
        <v>2.96</v>
      </c>
    </row>
    <row r="74" customFormat="false" ht="15" hidden="false" customHeight="false" outlineLevel="0" collapsed="false">
      <c r="A74" s="17" t="n">
        <v>44834</v>
      </c>
      <c r="B74" s="18" t="n">
        <v>169.938812</v>
      </c>
      <c r="C74" s="18" t="n">
        <v>32.227467</v>
      </c>
      <c r="D74" s="18" t="n">
        <v>32.526142</v>
      </c>
      <c r="E74" s="18" t="n">
        <v>36.576939</v>
      </c>
      <c r="F74" s="18" t="n">
        <v>13.032304</v>
      </c>
      <c r="G74" s="18" t="n">
        <v>68.133148</v>
      </c>
      <c r="H74" s="18" t="n">
        <v>61.638355</v>
      </c>
      <c r="I74" s="18" t="n">
        <v>22.185101</v>
      </c>
      <c r="J74" s="18" t="n">
        <v>31.530001</v>
      </c>
      <c r="K74" s="18" t="n">
        <v>76.775154</v>
      </c>
      <c r="L74" s="18" t="n">
        <v>339.126465</v>
      </c>
      <c r="M74" s="18" t="n">
        <v>83.1334</v>
      </c>
      <c r="N74" s="18" t="n">
        <v>40.25341</v>
      </c>
      <c r="O74" s="0" t="n">
        <v>3.33</v>
      </c>
    </row>
    <row r="75" customFormat="false" ht="15" hidden="false" customHeight="false" outlineLevel="0" collapsed="false">
      <c r="A75" s="17" t="n">
        <v>44865</v>
      </c>
      <c r="B75" s="18" t="n">
        <v>183.725601</v>
      </c>
      <c r="C75" s="18" t="n">
        <v>34.186298</v>
      </c>
      <c r="D75" s="18" t="n">
        <v>31.599108</v>
      </c>
      <c r="E75" s="18" t="n">
        <v>38.21843</v>
      </c>
      <c r="F75" s="18" t="n">
        <v>13.46128</v>
      </c>
      <c r="G75" s="18" t="n">
        <v>70.521248</v>
      </c>
      <c r="H75" s="18" t="n">
        <v>60.924732</v>
      </c>
      <c r="I75" s="18" t="n">
        <v>22.4883</v>
      </c>
      <c r="J75" s="18" t="n">
        <v>30.98</v>
      </c>
      <c r="K75" s="18" t="n">
        <v>76.896889</v>
      </c>
      <c r="L75" s="18" t="n">
        <v>366.689209</v>
      </c>
      <c r="M75" s="18" t="n">
        <v>82.070534</v>
      </c>
      <c r="N75" s="18" t="n">
        <v>41.541386</v>
      </c>
      <c r="O75" s="0" t="n">
        <v>4.22</v>
      </c>
    </row>
    <row r="76" customFormat="false" ht="15" hidden="false" customHeight="false" outlineLevel="0" collapsed="false">
      <c r="A76" s="17" t="n">
        <v>44895</v>
      </c>
      <c r="B76" s="18" t="n">
        <v>193.222931</v>
      </c>
      <c r="C76" s="18" t="n">
        <v>38.476196</v>
      </c>
      <c r="D76" s="18" t="n">
        <v>36.118359</v>
      </c>
      <c r="E76" s="18" t="n">
        <v>35.1763</v>
      </c>
      <c r="F76" s="18" t="n">
        <v>13.658611</v>
      </c>
      <c r="G76" s="18" t="n">
        <v>74.85553</v>
      </c>
      <c r="H76" s="18" t="n">
        <v>63.15818</v>
      </c>
      <c r="I76" s="18" t="n">
        <v>22.903666</v>
      </c>
      <c r="J76" s="18" t="n">
        <v>33.599998</v>
      </c>
      <c r="K76" s="18" t="n">
        <v>77.139214</v>
      </c>
      <c r="L76" s="18" t="n">
        <v>387.073944</v>
      </c>
      <c r="M76" s="18" t="n">
        <v>85.19619</v>
      </c>
      <c r="N76" s="18" t="n">
        <v>44.402275</v>
      </c>
      <c r="O76" s="0" t="n">
        <v>4.37</v>
      </c>
    </row>
    <row r="77" customFormat="false" ht="15" hidden="false" customHeight="false" outlineLevel="0" collapsed="false">
      <c r="A77" s="17" t="n">
        <v>44926</v>
      </c>
      <c r="B77" s="18" t="n">
        <v>181.90921</v>
      </c>
      <c r="C77" s="18" t="n">
        <v>37.636463</v>
      </c>
      <c r="D77" s="18" t="n">
        <v>35.313194</v>
      </c>
      <c r="E77" s="18" t="n">
        <v>34.019459</v>
      </c>
      <c r="F77" s="18" t="n">
        <v>12.836557</v>
      </c>
      <c r="G77" s="18" t="n">
        <v>71.087029</v>
      </c>
      <c r="H77" s="18" t="n">
        <v>62.649086</v>
      </c>
      <c r="I77" s="18" t="n">
        <v>22.637304</v>
      </c>
      <c r="J77" s="18" t="n">
        <v>34.59</v>
      </c>
      <c r="K77" s="18" t="n">
        <v>77.418938</v>
      </c>
      <c r="L77" s="18" t="n">
        <v>364.767639</v>
      </c>
      <c r="M77" s="18" t="n">
        <v>84.454567</v>
      </c>
      <c r="N77" s="18" t="n">
        <v>42.846424</v>
      </c>
      <c r="O77" s="0" t="n">
        <v>4.42</v>
      </c>
    </row>
    <row r="78" customFormat="false" ht="15" hidden="false" customHeight="false" outlineLevel="0" collapsed="false">
      <c r="A78" s="17" t="n">
        <v>44957</v>
      </c>
      <c r="B78" s="18" t="n">
        <v>194.506485</v>
      </c>
      <c r="C78" s="18" t="n">
        <v>41.035133</v>
      </c>
      <c r="D78" s="18" t="n">
        <v>38.257465</v>
      </c>
      <c r="E78" s="18" t="n">
        <v>35.363274</v>
      </c>
      <c r="F78" s="18" t="n">
        <v>12.552831</v>
      </c>
      <c r="G78" s="18" t="n">
        <v>78.481865</v>
      </c>
      <c r="H78" s="18" t="n">
        <v>64.724594</v>
      </c>
      <c r="I78" s="18" t="n">
        <v>23.083147</v>
      </c>
      <c r="J78" s="18" t="n">
        <v>36.59</v>
      </c>
      <c r="K78" s="18" t="n">
        <v>77.638977</v>
      </c>
      <c r="L78" s="18" t="n">
        <v>387.706909</v>
      </c>
      <c r="M78" s="18" t="n">
        <v>87.26709</v>
      </c>
      <c r="N78" s="18" t="n">
        <v>45.490253</v>
      </c>
      <c r="O78" s="0" t="n">
        <v>4.7</v>
      </c>
    </row>
    <row r="79" customFormat="false" ht="15" hidden="false" customHeight="false" outlineLevel="0" collapsed="false">
      <c r="A79" s="17" t="n">
        <v>44985</v>
      </c>
      <c r="B79" s="18" t="n">
        <v>189.834885</v>
      </c>
      <c r="C79" s="18" t="n">
        <v>39.609299</v>
      </c>
      <c r="D79" s="18" t="n">
        <v>35.711803</v>
      </c>
      <c r="E79" s="18" t="n">
        <v>32.720726</v>
      </c>
      <c r="F79" s="18" t="n">
        <v>12.595818</v>
      </c>
      <c r="G79" s="18" t="n">
        <v>73.879501</v>
      </c>
      <c r="H79" s="18" t="n">
        <v>62.999054</v>
      </c>
      <c r="I79" s="18" t="n">
        <v>22.781549</v>
      </c>
      <c r="J79" s="18" t="n">
        <v>34.619999</v>
      </c>
      <c r="K79" s="18" t="n">
        <v>77.907433</v>
      </c>
      <c r="L79" s="18" t="n">
        <v>377.958832</v>
      </c>
      <c r="M79" s="18" t="n">
        <v>84.940849</v>
      </c>
      <c r="N79" s="18" t="n">
        <v>44.209232</v>
      </c>
      <c r="O79" s="0" t="n">
        <v>4.88</v>
      </c>
    </row>
    <row r="80" customFormat="false" ht="15" hidden="false" customHeight="false" outlineLevel="0" collapsed="false">
      <c r="A80" s="17" t="n">
        <v>45016</v>
      </c>
      <c r="B80" s="18" t="n">
        <v>194.973877</v>
      </c>
      <c r="C80" s="18" t="n">
        <v>40.658356</v>
      </c>
      <c r="D80" s="18" t="n">
        <v>36.626087</v>
      </c>
      <c r="E80" s="18" t="n">
        <v>34.930367</v>
      </c>
      <c r="F80" s="18" t="n">
        <v>12.174524</v>
      </c>
      <c r="G80" s="18" t="n">
        <v>72.287064</v>
      </c>
      <c r="H80" s="18" t="n">
        <v>64.684746</v>
      </c>
      <c r="I80" s="18" t="n">
        <v>23.432823</v>
      </c>
      <c r="J80" s="18" t="n">
        <v>37.369999</v>
      </c>
      <c r="K80" s="18" t="n">
        <v>78.218361</v>
      </c>
      <c r="L80" s="18" t="n">
        <v>391.972748</v>
      </c>
      <c r="M80" s="18" t="n">
        <v>87.184334</v>
      </c>
      <c r="N80" s="18" t="n">
        <v>45.453907</v>
      </c>
      <c r="O80" s="0" t="n">
        <v>4.85</v>
      </c>
    </row>
    <row r="81" customFormat="false" ht="15" hidden="false" customHeight="false" outlineLevel="0" collapsed="false">
      <c r="A81" s="17" t="n">
        <v>45046</v>
      </c>
      <c r="B81" s="18" t="n">
        <v>197.075516</v>
      </c>
      <c r="C81" s="18" t="n">
        <v>41.729504</v>
      </c>
      <c r="D81" s="18" t="n">
        <v>36.481045</v>
      </c>
      <c r="E81" s="18" t="n">
        <v>37.130989</v>
      </c>
      <c r="F81" s="18" t="n">
        <v>13.292242</v>
      </c>
      <c r="G81" s="18" t="n">
        <v>72.513405</v>
      </c>
      <c r="H81" s="18" t="n">
        <v>65.065018</v>
      </c>
      <c r="I81" s="18" t="n">
        <v>23.439831</v>
      </c>
      <c r="J81" s="18" t="n">
        <v>37.709999</v>
      </c>
      <c r="K81" s="18" t="n">
        <v>78.502319</v>
      </c>
      <c r="L81" s="18" t="n">
        <v>398.234467</v>
      </c>
      <c r="M81" s="18" t="n">
        <v>87.686111</v>
      </c>
      <c r="N81" s="18" t="n">
        <v>45.963333</v>
      </c>
      <c r="O81" s="0" t="n">
        <v>5.1</v>
      </c>
    </row>
    <row r="82" customFormat="false" ht="15" hidden="false" customHeight="false" outlineLevel="0" collapsed="false">
      <c r="A82" s="17" t="n">
        <v>45077</v>
      </c>
      <c r="B82" s="18" t="n">
        <v>197.916153</v>
      </c>
      <c r="C82" s="18" t="n">
        <v>40.172302</v>
      </c>
      <c r="D82" s="18" t="n">
        <v>35.402199</v>
      </c>
      <c r="E82" s="18" t="n">
        <v>36.066753</v>
      </c>
      <c r="F82" s="18" t="n">
        <v>12.544232</v>
      </c>
      <c r="G82" s="18" t="n">
        <v>69.640709</v>
      </c>
      <c r="H82" s="18" t="n">
        <v>64.307846</v>
      </c>
      <c r="I82" s="18" t="n">
        <v>23.150391</v>
      </c>
      <c r="J82" s="18" t="n">
        <v>37.200001</v>
      </c>
      <c r="K82" s="18" t="n">
        <v>78.796844</v>
      </c>
      <c r="L82" s="18" t="n">
        <v>400.072876</v>
      </c>
      <c r="M82" s="18" t="n">
        <v>86.682716</v>
      </c>
      <c r="N82" s="18" t="n">
        <v>45.43428</v>
      </c>
      <c r="O82" s="0" t="n">
        <v>5.52</v>
      </c>
    </row>
    <row r="83" customFormat="false" ht="15" hidden="false" customHeight="false" outlineLevel="0" collapsed="false">
      <c r="A83" s="17" t="n">
        <v>45107</v>
      </c>
      <c r="B83" s="18" t="n">
        <v>211.233353</v>
      </c>
      <c r="C83" s="18" t="n">
        <v>41.951523</v>
      </c>
      <c r="D83" s="18" t="n">
        <v>37.080635</v>
      </c>
      <c r="E83" s="18" t="n">
        <v>37.721058</v>
      </c>
      <c r="F83" s="18" t="n">
        <v>12.938128</v>
      </c>
      <c r="G83" s="18" t="n">
        <v>73.561089</v>
      </c>
      <c r="H83" s="18" t="n">
        <v>64.163971</v>
      </c>
      <c r="I83" s="18" t="n">
        <v>23.100611</v>
      </c>
      <c r="J83" s="18" t="n">
        <v>36.389999</v>
      </c>
      <c r="K83" s="18" t="n">
        <v>79.159805</v>
      </c>
      <c r="L83" s="18" t="n">
        <v>425.997498</v>
      </c>
      <c r="M83" s="18" t="n">
        <v>86.363503</v>
      </c>
      <c r="N83" s="18" t="n">
        <v>46.930218</v>
      </c>
      <c r="O83" s="0" t="n">
        <v>5.43</v>
      </c>
    </row>
    <row r="84" customFormat="false" ht="15" hidden="false" customHeight="false" outlineLevel="0" collapsed="false">
      <c r="A84" s="17" t="n">
        <v>45138</v>
      </c>
      <c r="B84" s="18" t="n">
        <v>218.971954</v>
      </c>
      <c r="C84" s="18" t="n">
        <v>43.268757</v>
      </c>
      <c r="D84" s="18" t="n">
        <v>39.259167</v>
      </c>
      <c r="E84" s="18" t="n">
        <v>38.396431</v>
      </c>
      <c r="F84" s="18" t="n">
        <v>13.573997</v>
      </c>
      <c r="G84" s="18" t="n">
        <v>75.057693</v>
      </c>
      <c r="H84" s="18" t="n">
        <v>64.087837</v>
      </c>
      <c r="I84" s="18" t="n">
        <v>23.111668</v>
      </c>
      <c r="J84" s="18" t="n">
        <v>37.200001</v>
      </c>
      <c r="K84" s="18" t="n">
        <v>79.465385</v>
      </c>
      <c r="L84" s="18" t="n">
        <v>439.941772</v>
      </c>
      <c r="M84" s="18" t="n">
        <v>86.350266</v>
      </c>
      <c r="N84" s="18" t="n">
        <v>47.973766</v>
      </c>
      <c r="O84" s="0" t="n">
        <v>5.55</v>
      </c>
    </row>
    <row r="85" customFormat="false" ht="15" hidden="false" customHeight="false" outlineLevel="0" collapsed="false">
      <c r="A85" s="17" t="n">
        <v>45169</v>
      </c>
      <c r="B85" s="18" t="n">
        <v>214.743042</v>
      </c>
      <c r="C85" s="18" t="n">
        <v>41.560898</v>
      </c>
      <c r="D85" s="18" t="n">
        <v>36.943905</v>
      </c>
      <c r="E85" s="18" t="n">
        <v>37.328598</v>
      </c>
      <c r="F85" s="18" t="n">
        <v>13.273725</v>
      </c>
      <c r="G85" s="18" t="n">
        <v>72.522316</v>
      </c>
      <c r="H85" s="18" t="n">
        <v>63.664608</v>
      </c>
      <c r="I85" s="18" t="n">
        <v>22.922127</v>
      </c>
      <c r="J85" s="18" t="n">
        <v>36.75</v>
      </c>
      <c r="K85" s="18" t="n">
        <v>79.860069</v>
      </c>
      <c r="L85" s="18" t="n">
        <v>432.79187</v>
      </c>
      <c r="M85" s="18" t="n">
        <v>85.80513</v>
      </c>
      <c r="N85" s="18" t="n">
        <v>47.045528</v>
      </c>
      <c r="O85" s="0" t="n">
        <v>5.56</v>
      </c>
    </row>
    <row r="86" customFormat="false" ht="15" hidden="false" customHeight="false" outlineLevel="0" collapsed="false">
      <c r="A86" s="17" t="n">
        <v>45199</v>
      </c>
      <c r="B86" s="18" t="n">
        <v>204.433075</v>
      </c>
      <c r="C86" s="18" t="n">
        <v>39.987915</v>
      </c>
      <c r="D86" s="18" t="n">
        <v>36.032227</v>
      </c>
      <c r="E86" s="18" t="n">
        <v>35.357216</v>
      </c>
      <c r="F86" s="18" t="n">
        <v>13.503345</v>
      </c>
      <c r="G86" s="18" t="n">
        <v>67.254478</v>
      </c>
      <c r="H86" s="18" t="n">
        <v>62.086235</v>
      </c>
      <c r="I86" s="18" t="n">
        <v>22.481756</v>
      </c>
      <c r="J86" s="18" t="n">
        <v>34.990002</v>
      </c>
      <c r="K86" s="18" t="n">
        <v>80.178802</v>
      </c>
      <c r="L86" s="18" t="n">
        <v>412.262573</v>
      </c>
      <c r="M86" s="18" t="n">
        <v>83.58313</v>
      </c>
      <c r="N86" s="18" t="n">
        <v>45.409645</v>
      </c>
      <c r="O86" s="0" t="n">
        <v>5.55</v>
      </c>
    </row>
    <row r="87" customFormat="false" ht="15" hidden="false" customHeight="false" outlineLevel="0" collapsed="false">
      <c r="A87" s="17" t="n">
        <v>45230</v>
      </c>
      <c r="B87" s="18" t="n">
        <v>199.024139</v>
      </c>
      <c r="C87" s="18" t="n">
        <v>38.634251</v>
      </c>
      <c r="D87" s="18" t="n">
        <v>34.865158</v>
      </c>
      <c r="E87" s="18" t="n">
        <v>34.581436</v>
      </c>
      <c r="F87" s="18" t="n">
        <v>12.187453</v>
      </c>
      <c r="G87" s="18" t="n">
        <v>64.818863</v>
      </c>
      <c r="H87" s="18" t="n">
        <v>61.142273</v>
      </c>
      <c r="I87" s="18" t="n">
        <v>22.329527</v>
      </c>
      <c r="J87" s="18" t="n">
        <v>37.59</v>
      </c>
      <c r="K87" s="18" t="n">
        <v>80.524338</v>
      </c>
      <c r="L87" s="18" t="n">
        <v>403.312988</v>
      </c>
      <c r="M87" s="18" t="n">
        <v>82.270302</v>
      </c>
      <c r="N87" s="18" t="n">
        <v>44.406563</v>
      </c>
      <c r="O87" s="0" t="n">
        <v>5.59</v>
      </c>
    </row>
    <row r="88" customFormat="false" ht="15" hidden="false" customHeight="false" outlineLevel="0" collapsed="false">
      <c r="A88" s="17" t="n">
        <v>45260</v>
      </c>
      <c r="B88" s="18" t="n">
        <v>217.762909</v>
      </c>
      <c r="C88" s="18" t="n">
        <v>42.036697</v>
      </c>
      <c r="D88" s="18" t="n">
        <v>37.337151</v>
      </c>
      <c r="E88" s="18" t="n">
        <v>36.142117</v>
      </c>
      <c r="F88" s="18" t="n">
        <v>13.088265</v>
      </c>
      <c r="G88" s="18" t="n">
        <v>72.650101</v>
      </c>
      <c r="H88" s="18" t="n">
        <v>63.918995</v>
      </c>
      <c r="I88" s="18" t="n">
        <v>22.953211</v>
      </c>
      <c r="J88" s="18" t="n">
        <v>38.540001</v>
      </c>
      <c r="K88" s="18" t="n">
        <v>80.901352</v>
      </c>
      <c r="L88" s="18" t="n">
        <v>440.153107</v>
      </c>
      <c r="M88" s="18" t="n">
        <v>86.048904</v>
      </c>
      <c r="N88" s="18" t="n">
        <v>47.453175</v>
      </c>
      <c r="O88" s="0" t="n">
        <v>5.45</v>
      </c>
    </row>
    <row r="89" customFormat="false" ht="15" hidden="false" customHeight="false" outlineLevel="0" collapsed="false">
      <c r="A89" s="17" t="n">
        <v>45291</v>
      </c>
      <c r="B89" s="18" t="n">
        <v>229.291031</v>
      </c>
      <c r="C89" s="18" t="n">
        <v>44.385948</v>
      </c>
      <c r="D89" s="18" t="n">
        <v>38.581642</v>
      </c>
      <c r="E89" s="18" t="n">
        <v>39.139267</v>
      </c>
      <c r="F89" s="18" t="n">
        <v>13.208926</v>
      </c>
      <c r="G89" s="18" t="n">
        <v>79.512169</v>
      </c>
      <c r="H89" s="18" t="n">
        <v>66.19149</v>
      </c>
      <c r="I89" s="18" t="n">
        <v>23.522051</v>
      </c>
      <c r="J89" s="18" t="n">
        <v>39.029999</v>
      </c>
      <c r="K89" s="18" t="n">
        <v>81.247208</v>
      </c>
      <c r="L89" s="18" t="n">
        <v>460.248413</v>
      </c>
      <c r="M89" s="18" t="n">
        <v>89.230713</v>
      </c>
      <c r="N89" s="18" t="n">
        <v>49.592358</v>
      </c>
      <c r="O89" s="0" t="n">
        <v>5.4</v>
      </c>
    </row>
    <row r="90" customFormat="false" ht="15" hidden="false" customHeight="false" outlineLevel="0" collapsed="false">
      <c r="A90" s="17" t="n">
        <v>45322</v>
      </c>
      <c r="B90" s="18" t="n">
        <v>231.852448</v>
      </c>
      <c r="C90" s="18" t="n">
        <v>43.904095</v>
      </c>
      <c r="D90" s="18" t="n">
        <v>37.211109</v>
      </c>
      <c r="E90" s="18" t="n">
        <v>38.510525</v>
      </c>
      <c r="F90" s="18" t="n">
        <v>13.102261</v>
      </c>
      <c r="G90" s="18" t="n">
        <v>75.489754</v>
      </c>
      <c r="H90" s="18" t="n">
        <v>66.083511</v>
      </c>
      <c r="I90" s="18" t="n">
        <v>23.594143</v>
      </c>
      <c r="J90" s="18" t="n">
        <v>38.490002</v>
      </c>
      <c r="K90" s="18" t="n">
        <v>81.593918</v>
      </c>
      <c r="L90" s="18" t="n">
        <v>467.578583</v>
      </c>
      <c r="M90" s="18" t="n">
        <v>89.095833</v>
      </c>
      <c r="N90" s="18" t="n">
        <v>49.583035</v>
      </c>
      <c r="O90" s="0" t="n">
        <v>5.42</v>
      </c>
    </row>
    <row r="91" customFormat="false" ht="15" hidden="false" customHeight="false" outlineLevel="0" collapsed="false">
      <c r="A91" s="17" t="n">
        <v>45351</v>
      </c>
      <c r="B91" s="18" t="n">
        <v>244.137619</v>
      </c>
      <c r="C91" s="18" t="n">
        <v>45.108723</v>
      </c>
      <c r="D91" s="18" t="n">
        <v>38.506546</v>
      </c>
      <c r="E91" s="18" t="n">
        <v>41.127205</v>
      </c>
      <c r="F91" s="18" t="n">
        <v>12.94226</v>
      </c>
      <c r="G91" s="18" t="n">
        <v>76.983543</v>
      </c>
      <c r="H91" s="18" t="n">
        <v>65.182732</v>
      </c>
      <c r="I91" s="18" t="n">
        <v>23.337299</v>
      </c>
      <c r="J91" s="18" t="n">
        <v>38.650002</v>
      </c>
      <c r="K91" s="18" t="n">
        <v>81.956451</v>
      </c>
      <c r="L91" s="18" t="n">
        <v>491.980042</v>
      </c>
      <c r="M91" s="18" t="n">
        <v>87.782059</v>
      </c>
      <c r="N91" s="18" t="n">
        <v>50.692547</v>
      </c>
      <c r="O91" s="0" t="n">
        <v>5.45</v>
      </c>
    </row>
    <row r="92" customFormat="false" ht="15" hidden="false" customHeight="false" outlineLevel="0" collapsed="false">
      <c r="A92" s="17" t="n">
        <v>45382</v>
      </c>
      <c r="B92" s="18" t="n">
        <v>252.095779</v>
      </c>
      <c r="C92" s="18" t="n">
        <v>46.758991</v>
      </c>
      <c r="D92" s="18" t="n">
        <v>39.247246</v>
      </c>
      <c r="E92" s="18" t="n">
        <v>40.831326</v>
      </c>
      <c r="F92" s="18" t="n">
        <v>13.146704</v>
      </c>
      <c r="G92" s="18" t="n">
        <v>78.485512</v>
      </c>
      <c r="H92" s="18" t="n">
        <v>65.736664</v>
      </c>
      <c r="I92" s="18" t="n">
        <v>23.504025</v>
      </c>
      <c r="J92" s="18" t="n">
        <v>42.009998</v>
      </c>
      <c r="K92" s="18" t="n">
        <v>82.29261</v>
      </c>
      <c r="L92" s="18" t="n">
        <v>508.068726</v>
      </c>
      <c r="M92" s="18" t="n">
        <v>88.574287</v>
      </c>
      <c r="N92" s="18" t="n">
        <v>51.904613</v>
      </c>
      <c r="O92" s="0" t="n">
        <v>5.46</v>
      </c>
    </row>
    <row r="93" customFormat="false" ht="15" hidden="false" customHeight="false" outlineLevel="0" collapsed="false">
      <c r="A93" s="17" t="n">
        <v>45412</v>
      </c>
      <c r="B93" s="18" t="n">
        <v>241.144821</v>
      </c>
      <c r="C93" s="18" t="n">
        <v>45.165253</v>
      </c>
      <c r="D93" s="18" t="n">
        <v>39.623089</v>
      </c>
      <c r="E93" s="18" t="n">
        <v>39.777256</v>
      </c>
      <c r="F93" s="18" t="n">
        <v>12.737814</v>
      </c>
      <c r="G93" s="18" t="n">
        <v>72.250595</v>
      </c>
      <c r="H93" s="18" t="n">
        <v>64.153465</v>
      </c>
      <c r="I93" s="18" t="n">
        <v>23.118639</v>
      </c>
      <c r="J93" s="18" t="n">
        <v>43.299999</v>
      </c>
      <c r="K93" s="18" t="n">
        <v>82.648285</v>
      </c>
      <c r="L93" s="18" t="n">
        <v>487.583557</v>
      </c>
      <c r="M93" s="18" t="n">
        <v>86.379196</v>
      </c>
      <c r="N93" s="18" t="n">
        <v>50.343056</v>
      </c>
      <c r="O93" s="0" t="n">
        <v>5.46</v>
      </c>
    </row>
    <row r="94" customFormat="false" ht="15" hidden="false" customHeight="false" outlineLevel="0" collapsed="false">
      <c r="A94" s="17" t="n">
        <v>45443</v>
      </c>
      <c r="B94" s="18" t="n">
        <v>252.619537</v>
      </c>
      <c r="C94" s="18" t="n">
        <v>47.271603</v>
      </c>
      <c r="D94" s="18" t="n">
        <v>40.47813</v>
      </c>
      <c r="E94" s="18" t="n">
        <v>37.086605</v>
      </c>
      <c r="F94" s="18" t="n">
        <v>12.320034</v>
      </c>
      <c r="G94" s="18" t="n">
        <v>75.545029</v>
      </c>
      <c r="H94" s="18" t="n">
        <v>65.231567</v>
      </c>
      <c r="I94" s="18" t="n">
        <v>23.525534</v>
      </c>
      <c r="J94" s="18" t="n">
        <v>43.990002</v>
      </c>
      <c r="K94" s="18" t="n">
        <v>83.026276</v>
      </c>
      <c r="L94" s="18" t="n">
        <v>512.245483</v>
      </c>
      <c r="M94" s="18" t="n">
        <v>87.821365</v>
      </c>
      <c r="N94" s="18" t="n">
        <v>52.084194</v>
      </c>
      <c r="O94" s="0" t="n">
        <v>5.46</v>
      </c>
    </row>
    <row r="95" customFormat="false" ht="15" hidden="false" customHeight="false" outlineLevel="0" collapsed="false">
      <c r="A95" s="17" t="n">
        <v>45473</v>
      </c>
      <c r="B95" s="18" t="n">
        <v>260.397583</v>
      </c>
      <c r="C95" s="18" t="n">
        <v>46.489651</v>
      </c>
      <c r="D95" s="18" t="n">
        <v>41.275558</v>
      </c>
      <c r="E95" s="18" t="n">
        <v>38.119907</v>
      </c>
      <c r="F95" s="18" t="n">
        <v>12.70342</v>
      </c>
      <c r="G95" s="18" t="n">
        <v>76.961937</v>
      </c>
      <c r="H95" s="18" t="n">
        <v>65.806061</v>
      </c>
      <c r="I95" s="18" t="n">
        <v>23.699141</v>
      </c>
      <c r="J95" s="18" t="n">
        <v>43.93</v>
      </c>
      <c r="K95" s="18" t="n">
        <v>83.357727</v>
      </c>
      <c r="L95" s="18" t="n">
        <v>530.317505</v>
      </c>
      <c r="M95" s="18" t="n">
        <v>88.598976</v>
      </c>
      <c r="N95" s="18" t="n">
        <v>52.720741</v>
      </c>
      <c r="O95" s="0" t="n">
        <v>5.48</v>
      </c>
    </row>
    <row r="96" customFormat="false" ht="15" hidden="false" customHeight="false" outlineLevel="0" collapsed="false">
      <c r="A96" s="17" t="n">
        <v>45504</v>
      </c>
      <c r="B96" s="18" t="n">
        <v>265.323029</v>
      </c>
      <c r="C96" s="18" t="n">
        <v>47.8913</v>
      </c>
      <c r="D96" s="18" t="n">
        <v>41.775467</v>
      </c>
      <c r="E96" s="18" t="n">
        <v>39.50882</v>
      </c>
      <c r="F96" s="18" t="n">
        <v>13.488722</v>
      </c>
      <c r="G96" s="18" t="n">
        <v>83.07222</v>
      </c>
      <c r="H96" s="18" t="n">
        <v>67.35527</v>
      </c>
      <c r="I96" s="18" t="n">
        <v>24.124954</v>
      </c>
      <c r="J96" s="18" t="n">
        <v>46.299999</v>
      </c>
      <c r="K96" s="18" t="n">
        <v>83.733566</v>
      </c>
      <c r="L96" s="18" t="n">
        <v>536.739197</v>
      </c>
      <c r="M96" s="18" t="n">
        <v>90.742371</v>
      </c>
      <c r="N96" s="18" t="n">
        <v>53.828556</v>
      </c>
      <c r="O96" s="0" t="n">
        <v>5.41</v>
      </c>
    </row>
    <row r="97" customFormat="false" ht="15" hidden="false" customHeight="false" outlineLevel="0" collapsed="false">
      <c r="A97" s="17" t="n">
        <v>45535</v>
      </c>
      <c r="B97" s="18" t="n">
        <v>270.978516</v>
      </c>
      <c r="C97" s="18" t="n">
        <v>49.283543</v>
      </c>
      <c r="D97" s="18" t="n">
        <v>42.181057</v>
      </c>
      <c r="E97" s="18" t="n">
        <v>39.762203</v>
      </c>
      <c r="F97" s="18" t="n">
        <v>13.858276</v>
      </c>
      <c r="G97" s="18" t="n">
        <v>87.409149</v>
      </c>
      <c r="H97" s="18" t="n">
        <v>68.333008</v>
      </c>
      <c r="I97" s="18" t="n">
        <v>24.31699</v>
      </c>
      <c r="J97" s="18" t="n">
        <v>47.279999</v>
      </c>
      <c r="K97" s="18" t="n">
        <v>84.120186</v>
      </c>
      <c r="L97" s="18" t="n">
        <v>549.280457</v>
      </c>
      <c r="M97" s="18" t="n">
        <v>92.068512</v>
      </c>
      <c r="N97" s="18" t="n">
        <v>54.894375</v>
      </c>
      <c r="O97" s="0" t="n">
        <v>5.21</v>
      </c>
    </row>
    <row r="98" customFormat="false" ht="15" hidden="false" customHeight="false" outlineLevel="0" collapsed="false">
      <c r="A98" s="17" t="n">
        <v>45565</v>
      </c>
      <c r="B98" s="18" t="n">
        <v>276.48175</v>
      </c>
      <c r="C98" s="18" t="n">
        <v>49.815094</v>
      </c>
      <c r="D98" s="18" t="n">
        <v>45.266811</v>
      </c>
      <c r="E98" s="18" t="n">
        <v>40.071892</v>
      </c>
      <c r="F98" s="18" t="n">
        <v>14.033813</v>
      </c>
      <c r="G98" s="18" t="n">
        <v>90.26712</v>
      </c>
      <c r="H98" s="18" t="n">
        <v>69.232666</v>
      </c>
      <c r="I98" s="18" t="n">
        <v>24.688496</v>
      </c>
      <c r="J98" s="18" t="n">
        <v>49.700001</v>
      </c>
      <c r="K98" s="18" t="n">
        <v>84.475334</v>
      </c>
      <c r="L98" s="18" t="n">
        <v>560.81781</v>
      </c>
      <c r="M98" s="18" t="n">
        <v>93.295631</v>
      </c>
      <c r="N98" s="18" t="n">
        <v>55.875305</v>
      </c>
      <c r="O98" s="0" t="n">
        <v>4.73</v>
      </c>
    </row>
    <row r="99" customFormat="false" ht="15" hidden="false" customHeight="false" outlineLevel="0" collapsed="false">
      <c r="A99" s="17" t="n">
        <v>45596</v>
      </c>
      <c r="B99" s="18" t="n">
        <v>274.401978</v>
      </c>
      <c r="C99" s="18" t="n">
        <v>47.258781</v>
      </c>
      <c r="D99" s="18" t="n">
        <v>44.055908</v>
      </c>
      <c r="E99" s="18" t="n">
        <v>39.358662</v>
      </c>
      <c r="F99" s="18" t="n">
        <v>13.941425</v>
      </c>
      <c r="G99" s="18" t="n">
        <v>87.237228</v>
      </c>
      <c r="H99" s="18" t="n">
        <v>67.532562</v>
      </c>
      <c r="I99" s="18" t="n">
        <v>24.232576</v>
      </c>
      <c r="J99" s="18" t="n">
        <v>51.84</v>
      </c>
      <c r="K99" s="18" t="n">
        <v>84.808838</v>
      </c>
      <c r="L99" s="18" t="n">
        <v>555.813354</v>
      </c>
      <c r="M99" s="18" t="n">
        <v>90.94577</v>
      </c>
      <c r="N99" s="18" t="n">
        <v>54.615608</v>
      </c>
      <c r="O99" s="0" t="n">
        <v>4.64</v>
      </c>
    </row>
    <row r="100" customFormat="false" ht="15" hidden="false" customHeight="false" outlineLevel="0" collapsed="false">
      <c r="A100" s="17" t="n">
        <v>45626</v>
      </c>
      <c r="B100" s="18" t="n">
        <v>292.787872</v>
      </c>
      <c r="C100" s="18" t="n">
        <v>47.447433</v>
      </c>
      <c r="D100" s="18" t="n">
        <v>43.109898</v>
      </c>
      <c r="E100" s="18" t="n">
        <v>38.532833</v>
      </c>
      <c r="F100" s="18" t="n">
        <v>14.37011</v>
      </c>
      <c r="G100" s="18" t="n">
        <v>90.952805</v>
      </c>
      <c r="H100" s="18" t="n">
        <v>68.254036</v>
      </c>
      <c r="I100" s="18" t="n">
        <v>24.351526</v>
      </c>
      <c r="J100" s="18" t="n">
        <v>50.25</v>
      </c>
      <c r="K100" s="18" t="n">
        <v>85.123253</v>
      </c>
      <c r="L100" s="18" t="n">
        <v>588.958313</v>
      </c>
      <c r="M100" s="18" t="n">
        <v>91.956154</v>
      </c>
      <c r="N100" s="18" t="n">
        <v>56.084278</v>
      </c>
      <c r="O100" s="0" t="n">
        <v>4.58</v>
      </c>
    </row>
    <row r="101" customFormat="false" ht="15" hidden="false" customHeight="false" outlineLevel="0" collapsed="false">
      <c r="A101" s="17" t="n">
        <v>45657</v>
      </c>
      <c r="B101" s="18" t="n">
        <v>283.885773</v>
      </c>
      <c r="C101" s="18" t="n">
        <v>45.783939</v>
      </c>
      <c r="D101" s="18" t="n">
        <v>42.668343</v>
      </c>
      <c r="E101" s="18" t="n">
        <v>39.066628</v>
      </c>
      <c r="F101" s="18" t="n">
        <v>15.224521</v>
      </c>
      <c r="G101" s="18" t="n">
        <v>83.338074</v>
      </c>
      <c r="H101" s="18" t="n">
        <v>67.106689</v>
      </c>
      <c r="I101" s="18" t="n">
        <v>23.980339</v>
      </c>
      <c r="J101" s="18" t="n">
        <v>49.509998</v>
      </c>
      <c r="K101" s="18" t="n">
        <v>85.466393</v>
      </c>
      <c r="L101" s="18" t="n">
        <v>574.787903</v>
      </c>
      <c r="M101" s="18" t="n">
        <v>90.398964</v>
      </c>
      <c r="N101" s="18" t="n">
        <v>54.889896</v>
      </c>
      <c r="O101" s="0" t="n">
        <v>4.37</v>
      </c>
    </row>
    <row r="102" customFormat="false" ht="15" hidden="false" customHeight="false" outlineLevel="0" collapsed="false">
      <c r="A102" s="17" t="n">
        <v>45688</v>
      </c>
      <c r="B102" s="18" t="n">
        <v>292.496124</v>
      </c>
      <c r="C102" s="18" t="n">
        <v>47.813679</v>
      </c>
      <c r="D102" s="18" t="n">
        <v>43.017132</v>
      </c>
      <c r="E102" s="18" t="n">
        <v>40.424965</v>
      </c>
      <c r="F102" s="18" t="n">
        <v>15.751739</v>
      </c>
      <c r="G102" s="18" t="n">
        <v>84.713318</v>
      </c>
      <c r="H102" s="18" t="n">
        <v>67.507973</v>
      </c>
      <c r="I102" s="18" t="n">
        <v>24.27742</v>
      </c>
      <c r="J102" s="18" t="n">
        <v>52.869999</v>
      </c>
      <c r="K102" s="18" t="n">
        <v>85.765518</v>
      </c>
      <c r="L102" s="18" t="n">
        <v>590.22467</v>
      </c>
      <c r="M102" s="18" t="n">
        <v>90.865417</v>
      </c>
      <c r="N102" s="18" t="n">
        <v>56.019863</v>
      </c>
      <c r="O102" s="0" t="n">
        <v>4.31</v>
      </c>
    </row>
    <row r="103" customFormat="false" ht="15" hidden="false" customHeight="false" outlineLevel="0" collapsed="false">
      <c r="A103" s="17" t="n">
        <v>45716</v>
      </c>
      <c r="B103" s="18" t="n">
        <v>286.971375</v>
      </c>
      <c r="C103" s="18" t="n">
        <v>48.895561</v>
      </c>
      <c r="D103" s="18" t="n">
        <v>43.336849</v>
      </c>
      <c r="E103" s="18" t="n">
        <v>39.34404</v>
      </c>
      <c r="F103" s="18" t="n">
        <v>16.140213</v>
      </c>
      <c r="G103" s="18" t="n">
        <v>87.847382</v>
      </c>
      <c r="H103" s="18" t="n">
        <v>68.963829</v>
      </c>
      <c r="I103" s="18" t="n">
        <v>24.797318</v>
      </c>
      <c r="J103" s="18" t="n">
        <v>53.869999</v>
      </c>
      <c r="K103" s="18" t="n">
        <v>86.043236</v>
      </c>
      <c r="L103" s="18" t="n">
        <v>582.731873</v>
      </c>
      <c r="M103" s="18" t="n">
        <v>92.898422</v>
      </c>
      <c r="N103" s="18" t="n">
        <v>56.316727</v>
      </c>
      <c r="O103" s="0" t="n">
        <v>4.32</v>
      </c>
    </row>
    <row r="104" customFormat="false" ht="15" hidden="false" customHeight="false" outlineLevel="0" collapsed="false">
      <c r="A104" s="17" t="n">
        <v>45747</v>
      </c>
      <c r="B104" s="18" t="n">
        <v>270.168274</v>
      </c>
      <c r="C104" s="18" t="n">
        <v>48.890812</v>
      </c>
      <c r="D104" s="18" t="n">
        <v>43.894958</v>
      </c>
      <c r="E104" s="18" t="n">
        <v>39.573612</v>
      </c>
      <c r="F104" s="18" t="n">
        <v>15.696239</v>
      </c>
      <c r="G104" s="18" t="n">
        <v>85.574066</v>
      </c>
      <c r="H104" s="18" t="n">
        <v>68.972267</v>
      </c>
      <c r="I104" s="18" t="n">
        <v>24.978462</v>
      </c>
      <c r="J104" s="18" t="n">
        <v>58.959999</v>
      </c>
      <c r="K104" s="18" t="n">
        <v>86.3246</v>
      </c>
      <c r="L104" s="18" t="n">
        <v>550.262512</v>
      </c>
      <c r="M104" s="18" t="n">
        <v>92.874008</v>
      </c>
      <c r="N104" s="18" t="n">
        <v>55.129292</v>
      </c>
      <c r="O104" s="0" t="n">
        <v>4.32</v>
      </c>
    </row>
    <row r="105" customFormat="false" ht="15" hidden="false" customHeight="false" outlineLevel="0" collapsed="false">
      <c r="A105" s="17" t="n">
        <v>45777</v>
      </c>
      <c r="B105" s="18" t="n">
        <v>268.182617</v>
      </c>
      <c r="C105" s="18" t="n">
        <v>50.852978</v>
      </c>
      <c r="D105" s="18" t="n">
        <v>43.885262</v>
      </c>
      <c r="E105" s="18" t="n">
        <v>38.674431</v>
      </c>
      <c r="F105" s="18" t="n">
        <v>16.537935</v>
      </c>
      <c r="G105" s="18" t="n">
        <v>83.485291</v>
      </c>
      <c r="H105" s="18" t="n">
        <v>69.245491</v>
      </c>
      <c r="I105" s="18" t="n">
        <v>25.014822</v>
      </c>
      <c r="J105" s="18" t="n">
        <v>62.169998</v>
      </c>
      <c r="K105" s="18" t="n">
        <v>86.618294</v>
      </c>
      <c r="L105" s="18" t="n">
        <v>545.491638</v>
      </c>
      <c r="M105" s="18" t="n">
        <v>93.274338</v>
      </c>
      <c r="N105" s="18" t="n">
        <v>55.415184</v>
      </c>
      <c r="O105" s="0" t="n">
        <v>4.31</v>
      </c>
    </row>
    <row r="106" customFormat="false" ht="15" hidden="false" customHeight="false" outlineLevel="0" collapsed="false">
      <c r="A106" s="17" t="n">
        <v>45808</v>
      </c>
      <c r="B106" s="18" t="n">
        <v>284.952637</v>
      </c>
      <c r="C106" s="18" t="n">
        <v>53.459587</v>
      </c>
      <c r="D106" s="18" t="n">
        <v>45.582481</v>
      </c>
      <c r="E106" s="18" t="n">
        <v>36.665619</v>
      </c>
      <c r="F106" s="18" t="n">
        <v>17.176147</v>
      </c>
      <c r="G106" s="18" t="n">
        <v>84.420982</v>
      </c>
      <c r="H106" s="18" t="n">
        <v>68.778587</v>
      </c>
      <c r="I106" s="18" t="n">
        <v>24.830309</v>
      </c>
      <c r="J106" s="18" t="n">
        <v>62.16</v>
      </c>
      <c r="K106" s="18" t="n">
        <v>86.932892</v>
      </c>
      <c r="L106" s="18" t="n">
        <v>579.773071</v>
      </c>
      <c r="M106" s="18" t="n">
        <v>92.708252</v>
      </c>
      <c r="N106" s="18" t="n">
        <v>57.290569</v>
      </c>
      <c r="O106" s="0" t="n">
        <v>4.36</v>
      </c>
    </row>
    <row r="107" customFormat="false" ht="15" hidden="false" customHeight="false" outlineLevel="0" collapsed="false">
      <c r="A107" s="17" t="n">
        <v>45838</v>
      </c>
      <c r="B107" s="18" t="n">
        <v>299.665802</v>
      </c>
      <c r="C107" s="18" t="n">
        <v>55.271149</v>
      </c>
      <c r="D107" s="18" t="n">
        <v>48.107166</v>
      </c>
      <c r="E107" s="18" t="n">
        <v>37.505909</v>
      </c>
      <c r="F107" s="18" t="n">
        <v>17.911953</v>
      </c>
      <c r="G107" s="18" t="n">
        <v>85.002213</v>
      </c>
      <c r="H107" s="18" t="n">
        <v>69.821686</v>
      </c>
      <c r="I107" s="18" t="n">
        <v>25.087957</v>
      </c>
      <c r="J107" s="18" t="n">
        <v>62.360001</v>
      </c>
      <c r="K107" s="18" t="n">
        <v>87.223854</v>
      </c>
      <c r="L107" s="18" t="n">
        <v>609.56543</v>
      </c>
      <c r="M107" s="18" t="n">
        <v>94.05751</v>
      </c>
      <c r="N107" s="18" t="n">
        <v>59.214043</v>
      </c>
      <c r="O107" s="0" t="n">
        <v>4.41</v>
      </c>
    </row>
    <row r="108" customFormat="false" ht="15" hidden="false" customHeight="false" outlineLevel="0" collapsed="false">
      <c r="A108" s="17" t="n">
        <v>45869</v>
      </c>
      <c r="B108" s="18" t="n">
        <v>306.528198</v>
      </c>
      <c r="C108" s="18" t="n">
        <v>54.505245</v>
      </c>
      <c r="D108" s="18" t="n">
        <v>48.437866</v>
      </c>
      <c r="E108" s="18" t="n">
        <v>36.552204</v>
      </c>
      <c r="F108" s="18" t="n">
        <v>19.174974</v>
      </c>
      <c r="G108" s="18" t="n">
        <v>85.078575</v>
      </c>
      <c r="H108" s="18" t="n">
        <v>69.636169</v>
      </c>
      <c r="I108" s="18" t="n">
        <v>25.111557</v>
      </c>
      <c r="J108" s="18" t="n">
        <v>62.009998</v>
      </c>
      <c r="K108" s="18" t="n">
        <v>87.534889</v>
      </c>
      <c r="L108" s="18" t="n">
        <v>623.604614</v>
      </c>
      <c r="M108" s="18" t="n">
        <v>93.809235</v>
      </c>
      <c r="N108" s="18" t="n">
        <v>59.563148</v>
      </c>
      <c r="O108" s="0" t="n">
        <v>4.41</v>
      </c>
    </row>
    <row r="109" customFormat="false" ht="15" hidden="false" customHeight="false" outlineLevel="0" collapsed="false">
      <c r="A109" s="17" t="n">
        <v>45900</v>
      </c>
      <c r="B109" s="18" t="n">
        <v>313.735657</v>
      </c>
      <c r="C109" s="18" t="n">
        <v>56.919296</v>
      </c>
      <c r="D109" s="18" t="n">
        <v>50.120548</v>
      </c>
      <c r="E109" s="18" t="n">
        <v>36.357571</v>
      </c>
      <c r="F109" s="18" t="n">
        <v>18.543463</v>
      </c>
      <c r="G109" s="18" t="n">
        <v>88.037331</v>
      </c>
      <c r="H109" s="18" t="n">
        <v>70.43985</v>
      </c>
      <c r="I109" s="18" t="n">
        <v>25.507477</v>
      </c>
      <c r="J109" s="18" t="n">
        <v>65.099998</v>
      </c>
      <c r="K109" s="18" t="n">
        <v>87.859444</v>
      </c>
      <c r="L109" s="18" t="n">
        <v>636.400635</v>
      </c>
      <c r="M109" s="18" t="n">
        <v>94.925903</v>
      </c>
      <c r="N109" s="18" t="n">
        <v>60.88118</v>
      </c>
      <c r="O109" s="0" t="n">
        <v>4.23</v>
      </c>
    </row>
    <row r="110" customFormat="false" ht="15" hidden="false" customHeight="false" outlineLevel="0" collapsed="false">
      <c r="A110" s="17" t="n">
        <v>45930</v>
      </c>
      <c r="B110" s="18" t="n">
        <v>324.46521</v>
      </c>
      <c r="C110" s="18" t="n">
        <v>58.370621</v>
      </c>
      <c r="D110" s="18" t="n">
        <v>52.971367</v>
      </c>
      <c r="E110" s="18" t="n">
        <v>39.491173</v>
      </c>
      <c r="F110" s="18" t="n">
        <v>18.074614</v>
      </c>
      <c r="G110" s="18" t="n">
        <v>88.088074</v>
      </c>
      <c r="H110" s="18" t="n">
        <v>71.218407</v>
      </c>
      <c r="I110" s="18" t="n">
        <v>25.620605</v>
      </c>
      <c r="J110" s="18" t="n">
        <v>72.769997</v>
      </c>
      <c r="K110" s="18" t="n">
        <v>88.149605</v>
      </c>
      <c r="L110" s="18" t="n">
        <v>659.069458</v>
      </c>
      <c r="M110" s="18" t="n">
        <v>95.995499</v>
      </c>
      <c r="N110" s="18" t="n">
        <v>62.393032</v>
      </c>
      <c r="O110" s="0" t="n">
        <v>4.02</v>
      </c>
    </row>
    <row r="111" customFormat="false" ht="15" hidden="false" customHeight="false" outlineLevel="0" collapsed="false">
      <c r="A111" s="17" t="n">
        <v>45961</v>
      </c>
      <c r="B111" s="18" t="n">
        <v>331.633362</v>
      </c>
      <c r="C111" s="18" t="n">
        <v>59.403214</v>
      </c>
      <c r="D111" s="18" t="n">
        <v>53.743744</v>
      </c>
      <c r="E111" s="18" t="n">
        <v>39.199219</v>
      </c>
      <c r="F111" s="18" t="n">
        <v>18.830515</v>
      </c>
      <c r="G111" s="18" t="n">
        <v>85.92971</v>
      </c>
      <c r="H111" s="18" t="n">
        <v>71.647827</v>
      </c>
      <c r="I111" s="18" t="n">
        <v>25.706419</v>
      </c>
      <c r="J111" s="18" t="n">
        <v>75.389999</v>
      </c>
      <c r="K111" s="18" t="n">
        <v>88.459053</v>
      </c>
      <c r="L111" s="18" t="n">
        <v>674.78009</v>
      </c>
      <c r="M111" s="18" t="n">
        <v>96.586304</v>
      </c>
      <c r="N111" s="18" t="n">
        <v>63.343826</v>
      </c>
      <c r="O111" s="0" t="n">
        <v>3.89</v>
      </c>
    </row>
    <row r="112" customFormat="false" ht="15" hidden="false" customHeight="false" outlineLevel="0" collapsed="false">
      <c r="A112" s="17" t="n">
        <v>45991</v>
      </c>
      <c r="B112" s="18" t="n">
        <v>332.513306</v>
      </c>
      <c r="C112" s="18" t="n">
        <v>59.977959</v>
      </c>
      <c r="D112" s="18" t="n">
        <v>53.088688</v>
      </c>
      <c r="E112" s="18" t="n">
        <v>36.435421</v>
      </c>
      <c r="F112" s="18" t="n">
        <v>17.777996</v>
      </c>
      <c r="G112" s="18" t="n">
        <v>88.010986</v>
      </c>
      <c r="H112" s="18" t="n">
        <v>72.07576</v>
      </c>
      <c r="I112" s="18" t="n">
        <v>25.746605</v>
      </c>
      <c r="J112" s="18" t="n">
        <v>79.410004</v>
      </c>
      <c r="K112" s="18" t="n">
        <v>88.713417</v>
      </c>
      <c r="L112" s="18" t="n">
        <v>676.095825</v>
      </c>
      <c r="M112" s="18" t="n">
        <v>97.171349</v>
      </c>
      <c r="N112" s="18" t="n">
        <v>63.694172</v>
      </c>
      <c r="O112" s="0" t="n">
        <v>3.88</v>
      </c>
    </row>
    <row r="113" customFormat="false" ht="15" hidden="false" customHeight="false" outlineLevel="0" collapsed="false">
      <c r="A113" s="17" t="n">
        <v>46022</v>
      </c>
      <c r="B113" s="18" t="n">
        <v>332.425293</v>
      </c>
      <c r="C113" s="18" t="n">
        <v>61.884277</v>
      </c>
      <c r="D113" s="18" t="n">
        <v>53.594002</v>
      </c>
      <c r="E113" s="18" t="n">
        <v>35.861725</v>
      </c>
      <c r="F113" s="18" t="n">
        <v>18.473898</v>
      </c>
      <c r="G113" s="18" t="n">
        <v>86.042831</v>
      </c>
      <c r="H113" s="18" t="n">
        <v>71.859421</v>
      </c>
      <c r="I113" s="18" t="n">
        <v>25.602314</v>
      </c>
      <c r="J113" s="18" t="n">
        <v>81.169998</v>
      </c>
      <c r="K113" s="18" t="n">
        <v>89.010788</v>
      </c>
      <c r="L113" s="18" t="n">
        <v>676.63501</v>
      </c>
      <c r="M113" s="18" t="n">
        <v>96.900253</v>
      </c>
      <c r="N113" s="18" t="n">
        <v>63.916718</v>
      </c>
      <c r="O113" s="0" t="n">
        <v>3.67</v>
      </c>
    </row>
    <row r="114" customFormat="false" ht="15" hidden="false" customHeight="false" outlineLevel="0" collapsed="false">
      <c r="A114" s="17" t="n">
        <v>46053</v>
      </c>
      <c r="B114" s="18" t="n">
        <v>337.680359</v>
      </c>
      <c r="C114" s="18" t="n">
        <v>65.5793</v>
      </c>
      <c r="D114" s="18" t="n">
        <v>56.295639</v>
      </c>
      <c r="E114" s="18" t="n">
        <v>39.259773</v>
      </c>
      <c r="F114" s="18" t="n">
        <v>19.797602</v>
      </c>
      <c r="G114" s="18" t="n">
        <v>88.288956</v>
      </c>
      <c r="H114" s="18" t="n">
        <v>72.014656</v>
      </c>
      <c r="I114" s="18" t="n">
        <v>25.747288</v>
      </c>
      <c r="J114" s="18" t="n">
        <v>91.199997</v>
      </c>
      <c r="K114" s="18" t="n">
        <v>89.273796</v>
      </c>
      <c r="L114" s="18" t="n">
        <v>686.607178</v>
      </c>
      <c r="M114" s="18" t="n">
        <v>97.142799</v>
      </c>
      <c r="N114" s="18" t="n">
        <v>65.244011</v>
      </c>
      <c r="O114" s="0" t="n">
        <v>3.67</v>
      </c>
    </row>
    <row r="115" customFormat="false" ht="15" hidden="false" customHeight="false" outlineLevel="0" collapsed="false">
      <c r="A115" s="17" t="n">
        <v>46081</v>
      </c>
      <c r="B115" s="18" t="n">
        <v>335.89563</v>
      </c>
      <c r="C115" s="18" t="n">
        <v>69.581429</v>
      </c>
      <c r="D115" s="18" t="n">
        <v>57.920601</v>
      </c>
      <c r="E115" s="18" t="n">
        <v>36.610279</v>
      </c>
      <c r="F115" s="18" t="n">
        <v>20.62854</v>
      </c>
      <c r="G115" s="18" t="n">
        <v>93.043716</v>
      </c>
      <c r="H115" s="18" t="n">
        <v>73.168091</v>
      </c>
      <c r="I115" s="18" t="n">
        <v>26.046902</v>
      </c>
      <c r="J115" s="18" t="n">
        <v>99.07</v>
      </c>
      <c r="K115" s="18" t="n">
        <v>89.512184</v>
      </c>
      <c r="L115" s="18" t="n">
        <v>680.673462</v>
      </c>
      <c r="M115" s="18" t="n">
        <v>98.695251</v>
      </c>
      <c r="N115" s="18" t="n">
        <v>66.227188</v>
      </c>
      <c r="O115" s="0" t="n">
        <v>3.67</v>
      </c>
    </row>
    <row r="116" customFormat="false" ht="15" hidden="false" customHeight="false" outlineLevel="0" collapsed="false">
      <c r="A116" s="17" t="n">
        <v>46112</v>
      </c>
      <c r="B116" s="18" t="n">
        <v>319.084564</v>
      </c>
      <c r="C116" s="18" t="n">
        <v>63.587208</v>
      </c>
      <c r="D116" s="18" t="n">
        <v>53.883106</v>
      </c>
      <c r="E116" s="18" t="n">
        <v>39.151428</v>
      </c>
      <c r="F116" s="18" t="n">
        <v>18.019779</v>
      </c>
      <c r="G116" s="18" t="n">
        <v>87.168999</v>
      </c>
      <c r="H116" s="18" t="n">
        <v>71.896919</v>
      </c>
      <c r="I116" s="18" t="n">
        <v>25.718292</v>
      </c>
      <c r="J116" s="18" t="n">
        <v>88.160004</v>
      </c>
      <c r="K116" s="18" t="n">
        <v>89.769806</v>
      </c>
      <c r="L116" s="18" t="n">
        <v>647.062073</v>
      </c>
      <c r="M116" s="18" t="n">
        <v>96.924126</v>
      </c>
      <c r="N116" s="18" t="n">
        <v>63.267811</v>
      </c>
      <c r="O116" s="0" t="n">
        <v>3.7</v>
      </c>
    </row>
    <row r="117" customFormat="false" ht="15" hidden="false" customHeight="false" outlineLevel="0" collapsed="false">
      <c r="A117" s="17" t="n">
        <v>46142</v>
      </c>
      <c r="B117" s="18" t="n">
        <v>352.275055</v>
      </c>
      <c r="C117" s="18" t="n">
        <v>68.270912</v>
      </c>
      <c r="D117" s="18" t="n">
        <v>58.748043</v>
      </c>
      <c r="E117" s="18" t="n">
        <v>38.511215</v>
      </c>
      <c r="F117" s="18" t="n">
        <v>18.580179</v>
      </c>
      <c r="G117" s="18" t="n">
        <v>94.667305</v>
      </c>
      <c r="H117" s="18" t="n">
        <v>72.004684</v>
      </c>
      <c r="I117" s="18" t="n">
        <v>25.995956</v>
      </c>
      <c r="J117" s="18" t="n">
        <v>86.849998</v>
      </c>
      <c r="K117" s="18" t="n">
        <v>90.029167</v>
      </c>
      <c r="L117" s="18" t="n">
        <v>715.03772</v>
      </c>
      <c r="M117" s="18" t="n">
        <v>97.08773</v>
      </c>
      <c r="N117" s="18" t="n">
        <v>66.870819</v>
      </c>
      <c r="O117" s="0" t="n">
        <v>3.68</v>
      </c>
    </row>
    <row r="118" customFormat="false" ht="15" hidden="false" customHeight="false" outlineLevel="0" collapsed="false">
      <c r="A118" s="17" t="n">
        <v>46173</v>
      </c>
      <c r="B118" s="18" t="n">
        <v>370.536346</v>
      </c>
      <c r="C118" s="18" t="n">
        <v>71.218063</v>
      </c>
      <c r="D118" s="18" t="n">
        <v>59.69511</v>
      </c>
      <c r="E118" s="18" t="n">
        <v>38.166489</v>
      </c>
      <c r="F118" s="18" t="n">
        <v>18.870043</v>
      </c>
      <c r="G118" s="18" t="n">
        <v>94.048172</v>
      </c>
      <c r="H118" s="18" t="n">
        <v>72.203217</v>
      </c>
      <c r="I118" s="18" t="n">
        <v>26.050331</v>
      </c>
      <c r="J118" s="18" t="n">
        <v>85.489998</v>
      </c>
      <c r="K118" s="18" t="n">
        <v>90.314926</v>
      </c>
      <c r="L118" s="18" t="n">
        <v>752.667114</v>
      </c>
      <c r="M118" s="18" t="n">
        <v>97.372787</v>
      </c>
      <c r="N118" s="18" t="n">
        <v>68.767586</v>
      </c>
      <c r="O118" s="0" t="n">
        <v>3.69</v>
      </c>
    </row>
    <row r="119" customFormat="false" ht="15" hidden="false" customHeight="false" outlineLevel="0" collapsed="false">
      <c r="A119" s="17" t="n">
        <v>46203</v>
      </c>
      <c r="B119" s="18" t="n">
        <v>369.10849</v>
      </c>
      <c r="C119" s="18" t="n">
        <v>71.074219</v>
      </c>
      <c r="D119" s="18" t="n">
        <v>59.576416</v>
      </c>
      <c r="E119" s="18" t="n">
        <v>37.310001</v>
      </c>
      <c r="F119" s="18" t="n">
        <v>19.01</v>
      </c>
      <c r="G119" s="18" t="n">
        <v>95.600838</v>
      </c>
      <c r="H119" s="18" t="n">
        <v>72.397507</v>
      </c>
      <c r="I119" s="18" t="n">
        <v>25.926081</v>
      </c>
      <c r="J119" s="18" t="n">
        <v>75.510002</v>
      </c>
      <c r="K119" s="18" t="n">
        <v>90.560982</v>
      </c>
      <c r="L119" s="18" t="n">
        <v>744.920227</v>
      </c>
      <c r="M119" s="18" t="n">
        <v>97.620346</v>
      </c>
      <c r="N119" s="18" t="n">
        <v>68.658913</v>
      </c>
      <c r="O119" s="0" t="n">
        <v>3.87</v>
      </c>
    </row>
    <row r="120" customFormat="false" ht="15" hidden="false" customHeight="false" outlineLevel="0" collapsed="false">
      <c r="A120" s="17" t="n">
        <v>46234</v>
      </c>
      <c r="B120" s="18" t="n">
        <v>367.283081</v>
      </c>
      <c r="C120" s="18" t="n">
        <v>70.445778</v>
      </c>
      <c r="D120" s="18" t="n">
        <v>58.638206</v>
      </c>
      <c r="E120" s="18" t="n">
        <v>36.959999</v>
      </c>
      <c r="F120" s="18" t="n">
        <v>18.93</v>
      </c>
      <c r="G120" s="18" t="n">
        <v>98.099167</v>
      </c>
      <c r="H120" s="18" t="n">
        <v>71.471336</v>
      </c>
      <c r="I120" s="18" t="n">
        <v>25.73962</v>
      </c>
      <c r="J120" s="18" t="n">
        <v>76.169998</v>
      </c>
      <c r="K120" s="18" t="n">
        <v>90.866249</v>
      </c>
      <c r="L120" s="18" t="n">
        <v>745.179626</v>
      </c>
      <c r="M120" s="18" t="n">
        <v>96.354698</v>
      </c>
      <c r="N120" s="18" t="n">
        <v>68.214996</v>
      </c>
      <c r="O120" s="0" t="n">
        <v>3.83</v>
      </c>
    </row>
    <row r="121" customFormat="false" ht="15" hidden="false" customHeight="false" outlineLevel="0" collapsed="false">
      <c r="A121" s="17" t="n">
        <v>46265</v>
      </c>
      <c r="B121" s="18" t="n">
        <v>377.198059</v>
      </c>
      <c r="C121" s="18" t="n">
        <v>72.740097</v>
      </c>
      <c r="D121" s="18" t="n">
        <v>60.404839</v>
      </c>
      <c r="E121" s="18" t="n">
        <v>38.799999</v>
      </c>
      <c r="F121" s="18" t="n">
        <v>19.450001</v>
      </c>
      <c r="G121" s="18" t="n">
        <v>95.610756</v>
      </c>
      <c r="H121" s="18" t="n">
        <v>71.731483</v>
      </c>
      <c r="I121" s="18" t="n">
        <v>25.775433</v>
      </c>
      <c r="J121" s="18" t="n">
        <v>83.709999</v>
      </c>
      <c r="K121" s="18" t="n">
        <v>91.117752</v>
      </c>
      <c r="L121" s="18" t="n">
        <v>765.149963</v>
      </c>
      <c r="M121" s="18" t="n">
        <v>96.730049</v>
      </c>
      <c r="N121" s="18" t="n">
        <v>69.419434</v>
      </c>
      <c r="O121" s="0" t="n">
        <v>3.91</v>
      </c>
    </row>
    <row r="122" customFormat="false" ht="15" hidden="false" customHeight="false" outlineLevel="0" collapsed="false">
      <c r="A122" s="17" t="n">
        <v>46295</v>
      </c>
      <c r="B122" s="18" t="n">
        <v>374.23999</v>
      </c>
      <c r="C122" s="18" t="n">
        <v>70.610001</v>
      </c>
      <c r="D122" s="18" t="n">
        <v>59.310001</v>
      </c>
      <c r="E122" s="18" t="n">
        <v>36.32</v>
      </c>
      <c r="F122" s="18" t="n">
        <v>20.07</v>
      </c>
      <c r="G122" s="18" t="n">
        <v>89.629997</v>
      </c>
      <c r="H122" s="18" t="n">
        <v>69.901001</v>
      </c>
      <c r="I122" s="18" t="n">
        <v>25.073999</v>
      </c>
      <c r="J122" s="18" t="n">
        <v>78.099998</v>
      </c>
      <c r="K122" s="18" t="n">
        <v>91.376999</v>
      </c>
      <c r="L122" s="18" t="n">
        <v>762.630005</v>
      </c>
      <c r="M122" s="18" t="n">
        <v>94.206001</v>
      </c>
      <c r="N122" s="18" t="n">
        <v>68.20504</v>
      </c>
      <c r="O122" s="0" t="n">
        <v>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15" min="2" style="0" width="9"/>
  </cols>
  <sheetData>
    <row r="1" customFormat="false" ht="55.2" hidden="false" customHeight="false" outlineLevel="0" collapsed="false">
      <c r="A1" s="5" t="s">
        <v>76</v>
      </c>
      <c r="B1" s="5" t="s">
        <v>44</v>
      </c>
      <c r="C1" s="5" t="s">
        <v>47</v>
      </c>
      <c r="D1" s="5" t="s">
        <v>49</v>
      </c>
      <c r="E1" s="5" t="s">
        <v>51</v>
      </c>
      <c r="F1" s="5" t="s">
        <v>53</v>
      </c>
      <c r="G1" s="5" t="s">
        <v>55</v>
      </c>
      <c r="H1" s="5" t="s">
        <v>58</v>
      </c>
      <c r="I1" s="5" t="s">
        <v>61</v>
      </c>
      <c r="J1" s="5" t="s">
        <v>63</v>
      </c>
      <c r="K1" s="5" t="s">
        <v>65</v>
      </c>
      <c r="L1" s="5" t="s">
        <v>77</v>
      </c>
      <c r="M1" s="5" t="s">
        <v>78</v>
      </c>
      <c r="N1" s="5" t="s">
        <v>79</v>
      </c>
      <c r="O1" s="5" t="s">
        <v>81</v>
      </c>
    </row>
    <row r="2" customFormat="false" ht="15" hidden="false" customHeight="false" outlineLevel="0" collapsed="false">
      <c r="A2" s="17" t="n">
        <f aca="false">Prices!A3</f>
        <v>42674</v>
      </c>
      <c r="B2" s="14" t="n">
        <f aca="false">Prices!B3/Prices!B2-1</f>
        <v>-0.021917102368112</v>
      </c>
      <c r="C2" s="14" t="n">
        <f aca="false">Prices!C3/Prices!C2-1</f>
        <v>-0.0240576916917756</v>
      </c>
      <c r="D2" s="14" t="n">
        <f aca="false">Prices!D3/Prices!D2-1</f>
        <v>0.00318866111854077</v>
      </c>
      <c r="E2" s="14" t="n">
        <f aca="false">Prices!E3/Prices!E2-1</f>
        <v>0.0566863648194906</v>
      </c>
      <c r="F2" s="14" t="n">
        <f aca="false">Prices!F3/Prices!F2-1</f>
        <v>-0.0530458202837668</v>
      </c>
      <c r="G2" s="14" t="n">
        <f aca="false">Prices!G3/Prices!G2-1</f>
        <v>-0.0574131212430392</v>
      </c>
      <c r="H2" s="14" t="n">
        <f aca="false">Prices!H3/Prices!H2-1</f>
        <v>-0.00939540644995229</v>
      </c>
      <c r="I2" s="14" t="n">
        <f aca="false">Prices!I3/Prices!I2-1</f>
        <v>-0.00600282015563147</v>
      </c>
      <c r="J2" s="14" t="n">
        <f aca="false">Prices!J3/Prices!J2-1</f>
        <v>-0.0291568175396698</v>
      </c>
      <c r="K2" s="14" t="n">
        <f aca="false">Prices!K3/Prices!K2-1</f>
        <v>0.000218312885054806</v>
      </c>
      <c r="L2" s="14" t="n">
        <f aca="false">Prices!L3/Prices!L2-1</f>
        <v>-0.0173367936781783</v>
      </c>
      <c r="M2" s="14" t="n">
        <f aca="false">Prices!M3/Prices!M2-1</f>
        <v>-0.00817204258184823</v>
      </c>
      <c r="N2" s="14" t="n">
        <f aca="false">Prices!N3/Prices!N2-1</f>
        <v>-0.0158436649413151</v>
      </c>
      <c r="O2" s="19" t="n">
        <f aca="false">Prices!O2/100/12</f>
        <v>0.000241666666666667</v>
      </c>
    </row>
    <row r="3" customFormat="false" ht="15" hidden="false" customHeight="false" outlineLevel="0" collapsed="false">
      <c r="A3" s="17" t="n">
        <f aca="false">Prices!A4</f>
        <v>42704</v>
      </c>
      <c r="B3" s="14" t="n">
        <f aca="false">Prices!B4/Prices!B3-1</f>
        <v>0.0449079694115002</v>
      </c>
      <c r="C3" s="14" t="n">
        <f aca="false">Prices!C4/Prices!C3-1</f>
        <v>-0.0150642215165774</v>
      </c>
      <c r="D3" s="14" t="n">
        <f aca="false">Prices!D4/Prices!D3-1</f>
        <v>-0.040529399583731</v>
      </c>
      <c r="E3" s="14" t="n">
        <f aca="false">Prices!E4/Prices!E3-1</f>
        <v>0.147730445883755</v>
      </c>
      <c r="F3" s="14" t="n">
        <f aca="false">Prices!F4/Prices!F3-1</f>
        <v>-0.0137098291950983</v>
      </c>
      <c r="G3" s="14" t="n">
        <f aca="false">Prices!G4/Prices!G3-1</f>
        <v>-0.0167562611692592</v>
      </c>
      <c r="H3" s="14" t="n">
        <f aca="false">Prices!H4/Prices!H3-1</f>
        <v>-0.0257381384341118</v>
      </c>
      <c r="I3" s="14" t="n">
        <f aca="false">Prices!I4/Prices!I3-1</f>
        <v>-0.0200096743772509</v>
      </c>
      <c r="J3" s="14" t="n">
        <f aca="false">Prices!J4/Prices!J3-1</f>
        <v>-0.0836038589124943</v>
      </c>
      <c r="K3" s="14" t="n">
        <f aca="false">Prices!K4/Prices!K3-1</f>
        <v>-0.000437381620557287</v>
      </c>
      <c r="L3" s="14" t="n">
        <f aca="false">Prices!L4/Prices!L3-1</f>
        <v>0.0368384678427756</v>
      </c>
      <c r="M3" s="14" t="n">
        <f aca="false">Prices!M4/Prices!M3-1</f>
        <v>-0.02565451777853</v>
      </c>
      <c r="N3" s="14" t="n">
        <f aca="false">Prices!N4/Prices!N3-1</f>
        <v>-0.00346880681593886</v>
      </c>
      <c r="O3" s="19" t="n">
        <f aca="false">Prices!O3/100/12</f>
        <v>0.000283333333333333</v>
      </c>
    </row>
    <row r="4" customFormat="false" ht="15" hidden="false" customHeight="false" outlineLevel="0" collapsed="false">
      <c r="A4" s="17" t="n">
        <f aca="false">Prices!A5</f>
        <v>42735</v>
      </c>
      <c r="B4" s="14" t="n">
        <f aca="false">Prices!B5/Prices!B4-1</f>
        <v>0.0198664168375515</v>
      </c>
      <c r="C4" s="14" t="n">
        <f aca="false">Prices!C5/Prices!C4-1</f>
        <v>0.0244851350365622</v>
      </c>
      <c r="D4" s="14" t="n">
        <f aca="false">Prices!D5/Prices!D4-1</f>
        <v>-0.00738273074249463</v>
      </c>
      <c r="E4" s="14" t="n">
        <f aca="false">Prices!E5/Prices!E4-1</f>
        <v>0.0196794831230016</v>
      </c>
      <c r="F4" s="14" t="n">
        <f aca="false">Prices!F5/Prices!F4-1</f>
        <v>0.0505436043724368</v>
      </c>
      <c r="G4" s="14" t="n">
        <f aca="false">Prices!G5/Prices!G4-1</f>
        <v>0.048170943804323</v>
      </c>
      <c r="H4" s="14" t="n">
        <f aca="false">Prices!H5/Prices!H4-1</f>
        <v>0.00329868185571791</v>
      </c>
      <c r="I4" s="14" t="n">
        <f aca="false">Prices!I5/Prices!I4-1</f>
        <v>-0.000115820770373976</v>
      </c>
      <c r="J4" s="14" t="n">
        <f aca="false">Prices!J5/Prices!J4-1</f>
        <v>-0.0186005314437555</v>
      </c>
      <c r="K4" s="14" t="n">
        <f aca="false">Prices!K5/Prices!K4-1</f>
        <v>0.000219418278688099</v>
      </c>
      <c r="L4" s="14" t="n">
        <f aca="false">Prices!L5/Prices!L4-1</f>
        <v>0.0202718363580889</v>
      </c>
      <c r="M4" s="14" t="n">
        <f aca="false">Prices!M5/Prices!M4-1</f>
        <v>0.00254129195577568</v>
      </c>
      <c r="N4" s="14" t="n">
        <f aca="false">Prices!N5/Prices!N4-1</f>
        <v>0.0157807663869689</v>
      </c>
      <c r="O4" s="19" t="n">
        <f aca="false">Prices!O4/100/12</f>
        <v>0.0004</v>
      </c>
    </row>
    <row r="5" customFormat="false" ht="15" hidden="false" customHeight="false" outlineLevel="0" collapsed="false">
      <c r="A5" s="17" t="n">
        <f aca="false">Prices!A6</f>
        <v>42766</v>
      </c>
      <c r="B5" s="14" t="n">
        <f aca="false">Prices!B6/Prices!B5-1</f>
        <v>0.0185569455610393</v>
      </c>
      <c r="C5" s="14" t="n">
        <f aca="false">Prices!C6/Prices!C5-1</f>
        <v>0.0366723236142075</v>
      </c>
      <c r="D5" s="14" t="n">
        <f aca="false">Prices!D6/Prices!D5-1</f>
        <v>0.0575739967966706</v>
      </c>
      <c r="E5" s="14" t="n">
        <f aca="false">Prices!E6/Prices!E5-1</f>
        <v>0.00170274594304098</v>
      </c>
      <c r="F5" s="14" t="n">
        <f aca="false">Prices!F6/Prices!F5-1</f>
        <v>0.0284158113822561</v>
      </c>
      <c r="G5" s="14" t="n">
        <f aca="false">Prices!G6/Prices!G5-1</f>
        <v>-0.0019385420301864</v>
      </c>
      <c r="H5" s="14" t="n">
        <f aca="false">Prices!H6/Prices!H5-1</f>
        <v>0.00185665347929231</v>
      </c>
      <c r="I5" s="14" t="n">
        <f aca="false">Prices!I6/Prices!I5-1</f>
        <v>0.00875307263502312</v>
      </c>
      <c r="J5" s="14" t="n">
        <f aca="false">Prices!J6/Prices!J5-1</f>
        <v>0.0532490974729243</v>
      </c>
      <c r="K5" s="14" t="n">
        <f aca="false">Prices!K6/Prices!K5-1</f>
        <v>0.000437477016494103</v>
      </c>
      <c r="L5" s="14" t="n">
        <f aca="false">Prices!L6/Prices!L5-1</f>
        <v>0.0178946688608066</v>
      </c>
      <c r="M5" s="14" t="n">
        <f aca="false">Prices!M6/Prices!M5-1</f>
        <v>0.00212780815211544</v>
      </c>
      <c r="N5" s="14" t="n">
        <f aca="false">Prices!N6/Prices!N5-1</f>
        <v>0.013060820650306</v>
      </c>
      <c r="O5" s="19" t="n">
        <f aca="false">Prices!O5/100/12</f>
        <v>0.000425</v>
      </c>
    </row>
    <row r="6" customFormat="false" ht="15" hidden="false" customHeight="false" outlineLevel="0" collapsed="false">
      <c r="A6" s="17" t="n">
        <f aca="false">Prices!A7</f>
        <v>42794</v>
      </c>
      <c r="B6" s="14" t="n">
        <f aca="false">Prices!B7/Prices!B6-1</f>
        <v>0.0369489988627287</v>
      </c>
      <c r="C6" s="14" t="n">
        <f aca="false">Prices!C7/Prices!C6-1</f>
        <v>0.0105595300608099</v>
      </c>
      <c r="D6" s="14" t="n">
        <f aca="false">Prices!D7/Prices!D6-1</f>
        <v>0.0224631440130787</v>
      </c>
      <c r="E6" s="14" t="n">
        <f aca="false">Prices!E7/Prices!E6-1</f>
        <v>-0.0263260468900886</v>
      </c>
      <c r="F6" s="14" t="n">
        <f aca="false">Prices!F7/Prices!F6-1</f>
        <v>-0.00881806600320623</v>
      </c>
      <c r="G6" s="14" t="n">
        <f aca="false">Prices!G7/Prices!G6-1</f>
        <v>0.0350858037572854</v>
      </c>
      <c r="H6" s="14" t="n">
        <f aca="false">Prices!H7/Prices!H6-1</f>
        <v>0.00616528691954965</v>
      </c>
      <c r="I6" s="14" t="n">
        <f aca="false">Prices!I7/Prices!I6-1</f>
        <v>0.00361532178756185</v>
      </c>
      <c r="J6" s="14" t="n">
        <f aca="false">Prices!J7/Prices!J6-1</f>
        <v>0.0317052270779776</v>
      </c>
      <c r="K6" s="14" t="n">
        <f aca="false">Prices!K7/Prices!K6-1</f>
        <v>0.000503372679302672</v>
      </c>
      <c r="L6" s="14" t="n">
        <f aca="false">Prices!L7/Prices!L6-1</f>
        <v>0.0392914343677246</v>
      </c>
      <c r="M6" s="14" t="n">
        <f aca="false">Prices!M7/Prices!M6-1</f>
        <v>0.00645917858679956</v>
      </c>
      <c r="N6" s="14" t="n">
        <f aca="false">Prices!N7/Prices!N6-1</f>
        <v>0.0216492924151517</v>
      </c>
      <c r="O6" s="19" t="n">
        <f aca="false">Prices!O6/100/12</f>
        <v>0.000433333333333333</v>
      </c>
    </row>
    <row r="7" customFormat="false" ht="15" hidden="false" customHeight="false" outlineLevel="0" collapsed="false">
      <c r="A7" s="17" t="n">
        <f aca="false">Prices!A8</f>
        <v>42825</v>
      </c>
      <c r="B7" s="14" t="n">
        <f aca="false">Prices!B8/Prices!B7-1</f>
        <v>0.000552674107388018</v>
      </c>
      <c r="C7" s="14" t="n">
        <f aca="false">Prices!C8/Prices!C7-1</f>
        <v>0.0305843604311769</v>
      </c>
      <c r="D7" s="14" t="n">
        <f aca="false">Prices!D8/Prices!D7-1</f>
        <v>0.0284491753584364</v>
      </c>
      <c r="E7" s="14" t="n">
        <f aca="false">Prices!E8/Prices!E7-1</f>
        <v>0.00832237053423746</v>
      </c>
      <c r="F7" s="14" t="n">
        <f aca="false">Prices!F8/Prices!F7-1</f>
        <v>-0.00444856708545993</v>
      </c>
      <c r="G7" s="14" t="n">
        <f aca="false">Prices!G8/Prices!G7-1</f>
        <v>-0.0242370095646808</v>
      </c>
      <c r="H7" s="14" t="n">
        <f aca="false">Prices!H8/Prices!H7-1</f>
        <v>-0.000394128023145202</v>
      </c>
      <c r="I7" s="14" t="n">
        <f aca="false">Prices!I8/Prices!I7-1</f>
        <v>0.000179519002297512</v>
      </c>
      <c r="J7" s="14" t="n">
        <f aca="false">Prices!J8/Prices!J7-1</f>
        <v>-0.00249169435215946</v>
      </c>
      <c r="K7" s="14" t="n">
        <f aca="false">Prices!K8/Prices!K7-1</f>
        <v>-0.000175525917214481</v>
      </c>
      <c r="L7" s="14" t="n">
        <f aca="false">Prices!L8/Prices!L7-1</f>
        <v>0.00124971837018761</v>
      </c>
      <c r="M7" s="14" t="n">
        <f aca="false">Prices!M8/Prices!M7-1</f>
        <v>-0.000552697529989543</v>
      </c>
      <c r="N7" s="14" t="n">
        <f aca="false">Prices!N8/Prices!N7-1</f>
        <v>0.0092852818938487</v>
      </c>
      <c r="O7" s="19" t="n">
        <f aca="false">Prices!O7/100/12</f>
        <v>0.000441666666666667</v>
      </c>
    </row>
    <row r="8" customFormat="false" ht="15" hidden="false" customHeight="false" outlineLevel="0" collapsed="false">
      <c r="A8" s="17" t="n">
        <f aca="false">Prices!A9</f>
        <v>42855</v>
      </c>
      <c r="B8" s="14" t="n">
        <f aca="false">Prices!B9/Prices!B8-1</f>
        <v>0.0106326672620789</v>
      </c>
      <c r="C8" s="14" t="n">
        <f aca="false">Prices!C9/Prices!C8-1</f>
        <v>0.0221374920530328</v>
      </c>
      <c r="D8" s="14" t="n">
        <f aca="false">Prices!D9/Prices!D8-1</f>
        <v>0.0156091177414055</v>
      </c>
      <c r="E8" s="14" t="n">
        <f aca="false">Prices!E9/Prices!E8-1</f>
        <v>0.00495240019956933</v>
      </c>
      <c r="F8" s="14" t="n">
        <f aca="false">Prices!F9/Prices!F8-1</f>
        <v>0.0110216623804893</v>
      </c>
      <c r="G8" s="14" t="n">
        <f aca="false">Prices!G9/Prices!G8-1</f>
        <v>0.00242168426224154</v>
      </c>
      <c r="H8" s="14" t="n">
        <f aca="false">Prices!H9/Prices!H8-1</f>
        <v>0.00795981296648041</v>
      </c>
      <c r="I8" s="14" t="n">
        <f aca="false">Prices!I9/Prices!I8-1</f>
        <v>0.00412864281827718</v>
      </c>
      <c r="J8" s="14" t="n">
        <f aca="false">Prices!J9/Prices!J8-1</f>
        <v>0.0166527893422148</v>
      </c>
      <c r="K8" s="14" t="n">
        <f aca="false">Prices!K9/Prices!K8-1</f>
        <v>0.000744184918221036</v>
      </c>
      <c r="L8" s="14" t="n">
        <f aca="false">Prices!L9/Prices!L8-1</f>
        <v>0.00992657753370319</v>
      </c>
      <c r="M8" s="14" t="n">
        <f aca="false">Prices!M9/Prices!M8-1</f>
        <v>0.00907054539223839</v>
      </c>
      <c r="N8" s="14" t="n">
        <f aca="false">Prices!N9/Prices!N8-1</f>
        <v>0.0138034969908685</v>
      </c>
      <c r="O8" s="19" t="n">
        <f aca="false">Prices!O8/100/12</f>
        <v>0.000633333333333333</v>
      </c>
    </row>
    <row r="9" customFormat="false" ht="15" hidden="false" customHeight="false" outlineLevel="0" collapsed="false">
      <c r="A9" s="17" t="n">
        <f aca="false">Prices!A10</f>
        <v>42886</v>
      </c>
      <c r="B9" s="14" t="n">
        <f aca="false">Prices!B10/Prices!B9-1</f>
        <v>0.0101134654770751</v>
      </c>
      <c r="C9" s="14" t="n">
        <f aca="false">Prices!C10/Prices!C9-1</f>
        <v>0.0341051591912696</v>
      </c>
      <c r="D9" s="14" t="n">
        <f aca="false">Prices!D10/Prices!D9-1</f>
        <v>0.00991598247917414</v>
      </c>
      <c r="E9" s="14" t="n">
        <f aca="false">Prices!E10/Prices!E9-1</f>
        <v>-0.00612976572002744</v>
      </c>
      <c r="F9" s="14" t="n">
        <f aca="false">Prices!F10/Prices!F9-1</f>
        <v>-0.00471423508274493</v>
      </c>
      <c r="G9" s="14" t="n">
        <f aca="false">Prices!G10/Prices!G9-1</f>
        <v>-0.00724678453308725</v>
      </c>
      <c r="H9" s="14" t="n">
        <f aca="false">Prices!H10/Prices!H9-1</f>
        <v>0.00710249431831378</v>
      </c>
      <c r="I9" s="14" t="n">
        <f aca="false">Prices!I10/Prices!I9-1</f>
        <v>0.00093503171221121</v>
      </c>
      <c r="J9" s="14" t="n">
        <f aca="false">Prices!J10/Prices!J9-1</f>
        <v>-0.000819000819000992</v>
      </c>
      <c r="K9" s="14" t="n">
        <f aca="false">Prices!K10/Prices!K9-1</f>
        <v>0.000153036893202341</v>
      </c>
      <c r="L9" s="14" t="n">
        <f aca="false">Prices!L10/Prices!L9-1</f>
        <v>0.0141128328208697</v>
      </c>
      <c r="M9" s="14" t="n">
        <f aca="false">Prices!M10/Prices!M9-1</f>
        <v>0.00687049592868583</v>
      </c>
      <c r="N9" s="14" t="n">
        <f aca="false">Prices!N10/Prices!N9-1</f>
        <v>0.0151794813778492</v>
      </c>
      <c r="O9" s="19" t="n">
        <f aca="false">Prices!O9/100/12</f>
        <v>0.000666666666666667</v>
      </c>
    </row>
    <row r="10" customFormat="false" ht="15" hidden="false" customHeight="false" outlineLevel="0" collapsed="false">
      <c r="A10" s="17" t="n">
        <f aca="false">Prices!A11</f>
        <v>42916</v>
      </c>
      <c r="B10" s="14" t="n">
        <f aca="false">Prices!B11/Prices!B10-1</f>
        <v>0.00947305161647072</v>
      </c>
      <c r="C10" s="14" t="n">
        <f aca="false">Prices!C11/Prices!C10-1</f>
        <v>0.00637256200404335</v>
      </c>
      <c r="D10" s="14" t="n">
        <f aca="false">Prices!D11/Prices!D10-1</f>
        <v>0.00850460581916779</v>
      </c>
      <c r="E10" s="14" t="n">
        <f aca="false">Prices!E11/Prices!E10-1</f>
        <v>0.104523352825911</v>
      </c>
      <c r="F10" s="14" t="n">
        <f aca="false">Prices!F11/Prices!F10-1</f>
        <v>0.0176966478077887</v>
      </c>
      <c r="G10" s="14" t="n">
        <f aca="false">Prices!G11/Prices!G10-1</f>
        <v>0.0223258940406779</v>
      </c>
      <c r="H10" s="14" t="n">
        <f aca="false">Prices!H11/Prices!H10-1</f>
        <v>0.000512759817730357</v>
      </c>
      <c r="I10" s="14" t="n">
        <f aca="false">Prices!I11/Prices!I10-1</f>
        <v>-0.0093736431919601</v>
      </c>
      <c r="J10" s="14" t="n">
        <f aca="false">Prices!J11/Prices!J10-1</f>
        <v>-0.0213115163934425</v>
      </c>
      <c r="K10" s="14" t="n">
        <f aca="false">Prices!K11/Prices!K10-1</f>
        <v>0.00102913283649331</v>
      </c>
      <c r="L10" s="14" t="n">
        <f aca="false">Prices!L11/Prices!L10-1</f>
        <v>0.00637480604939489</v>
      </c>
      <c r="M10" s="14" t="n">
        <f aca="false">Prices!M11/Prices!M10-1</f>
        <v>-0.000182655208772031</v>
      </c>
      <c r="N10" s="14" t="n">
        <f aca="false">Prices!N11/Prices!N10-1</f>
        <v>0.0032206786663509</v>
      </c>
      <c r="O10" s="19" t="n">
        <f aca="false">Prices!O10/100/12</f>
        <v>0.000816666666666667</v>
      </c>
    </row>
    <row r="11" customFormat="false" ht="15" hidden="false" customHeight="false" outlineLevel="0" collapsed="false">
      <c r="A11" s="17" t="n">
        <f aca="false">Prices!A12</f>
        <v>42947</v>
      </c>
      <c r="B11" s="14" t="n">
        <f aca="false">Prices!B12/Prices!B11-1</f>
        <v>0.018802705329185</v>
      </c>
      <c r="C11" s="14" t="n">
        <f aca="false">Prices!C12/Prices!C11-1</f>
        <v>0.028799849002668</v>
      </c>
      <c r="D11" s="14" t="n">
        <f aca="false">Prices!D12/Prices!D11-1</f>
        <v>0.0533917580800181</v>
      </c>
      <c r="E11" s="14" t="n">
        <f aca="false">Prices!E12/Prices!E11-1</f>
        <v>-0.0457595309991558</v>
      </c>
      <c r="F11" s="14" t="n">
        <f aca="false">Prices!F12/Prices!F11-1</f>
        <v>0.0591751332982387</v>
      </c>
      <c r="G11" s="14" t="n">
        <f aca="false">Prices!G12/Prices!G11-1</f>
        <v>0.012375036816157</v>
      </c>
      <c r="H11" s="14" t="n">
        <f aca="false">Prices!H12/Prices!H11-1</f>
        <v>0.00612355217356941</v>
      </c>
      <c r="I11" s="14" t="n">
        <f aca="false">Prices!I12/Prices!I11-1</f>
        <v>0.00523999462626046</v>
      </c>
      <c r="J11" s="14" t="n">
        <f aca="false">Prices!J12/Prices!J11-1</f>
        <v>0.0234506709987716</v>
      </c>
      <c r="K11" s="14" t="n">
        <f aca="false">Prices!K12/Prices!K11-1</f>
        <v>0.000327746519392935</v>
      </c>
      <c r="L11" s="14" t="n">
        <f aca="false">Prices!L12/Prices!L11-1</f>
        <v>0.0205545163722376</v>
      </c>
      <c r="M11" s="14" t="n">
        <f aca="false">Prices!M12/Prices!M11-1</f>
        <v>0.00333966973633815</v>
      </c>
      <c r="N11" s="14" t="n">
        <f aca="false">Prices!N12/Prices!N11-1</f>
        <v>0.0191643247343651</v>
      </c>
      <c r="O11" s="19" t="n">
        <f aca="false">Prices!O11/100/12</f>
        <v>0.000858333333333333</v>
      </c>
    </row>
    <row r="12" customFormat="false" ht="15" hidden="false" customHeight="false" outlineLevel="0" collapsed="false">
      <c r="A12" s="17" t="n">
        <f aca="false">Prices!A13</f>
        <v>42978</v>
      </c>
      <c r="B12" s="14" t="n">
        <f aca="false">Prices!B13/Prices!B12-1</f>
        <v>0.00149839328539714</v>
      </c>
      <c r="C12" s="14" t="n">
        <f aca="false">Prices!C13/Prices!C12-1</f>
        <v>0.000234815326900062</v>
      </c>
      <c r="D12" s="14" t="n">
        <f aca="false">Prices!D13/Prices!D12-1</f>
        <v>0.0299933522027431</v>
      </c>
      <c r="E12" s="14" t="n">
        <f aca="false">Prices!E13/Prices!E12-1</f>
        <v>0.00892620000120936</v>
      </c>
      <c r="F12" s="14" t="n">
        <f aca="false">Prices!F13/Prices!F12-1</f>
        <v>0.00282161999060437</v>
      </c>
      <c r="G12" s="14" t="n">
        <f aca="false">Prices!G13/Prices!G12-1</f>
        <v>-0.00261051369846455</v>
      </c>
      <c r="H12" s="14" t="n">
        <f aca="false">Prices!H13/Prices!H12-1</f>
        <v>0.0106799605082937</v>
      </c>
      <c r="I12" s="14" t="n">
        <f aca="false">Prices!I13/Prices!I12-1</f>
        <v>0.0104048724307664</v>
      </c>
      <c r="J12" s="14" t="n">
        <f aca="false">Prices!J13/Prices!J12-1</f>
        <v>0.04091652860407</v>
      </c>
      <c r="K12" s="14" t="n">
        <f aca="false">Prices!K13/Prices!K12-1</f>
        <v>0.00113772221378694</v>
      </c>
      <c r="L12" s="14" t="n">
        <f aca="false">Prices!L13/Prices!L12-1</f>
        <v>0.00291741589235639</v>
      </c>
      <c r="M12" s="14" t="n">
        <f aca="false">Prices!M13/Prices!M12-1</f>
        <v>0.00941332395058891</v>
      </c>
      <c r="N12" s="14" t="n">
        <f aca="false">Prices!N13/Prices!N12-1</f>
        <v>0.0047599322742331</v>
      </c>
      <c r="O12" s="19" t="n">
        <f aca="false">Prices!O12/100/12</f>
        <v>0.000891666666666667</v>
      </c>
    </row>
    <row r="13" customFormat="false" ht="15" hidden="false" customHeight="false" outlineLevel="0" collapsed="false">
      <c r="A13" s="17" t="n">
        <f aca="false">Prices!A14</f>
        <v>43008</v>
      </c>
      <c r="B13" s="14" t="n">
        <f aca="false">Prices!B14/Prices!B13-1</f>
        <v>0.0244009510593841</v>
      </c>
      <c r="C13" s="14" t="n">
        <f aca="false">Prices!C14/Prices!C13-1</f>
        <v>0.0251429470214206</v>
      </c>
      <c r="D13" s="14" t="n">
        <f aca="false">Prices!D14/Prices!D13-1</f>
        <v>-0.00495151042083541</v>
      </c>
      <c r="E13" s="14" t="n">
        <f aca="false">Prices!E14/Prices!E13-1</f>
        <v>0.00114894800592835</v>
      </c>
      <c r="F13" s="14" t="n">
        <f aca="false">Prices!F14/Prices!F13-1</f>
        <v>-0.0227911736888142</v>
      </c>
      <c r="G13" s="14" t="n">
        <f aca="false">Prices!G14/Prices!G13-1</f>
        <v>-0.00114076895347137</v>
      </c>
      <c r="H13" s="14" t="n">
        <f aca="false">Prices!H14/Prices!H13-1</f>
        <v>-0.00468784163753067</v>
      </c>
      <c r="I13" s="14" t="n">
        <f aca="false">Prices!I14/Prices!I13-1</f>
        <v>-0.00738284442255821</v>
      </c>
      <c r="J13" s="14" t="n">
        <f aca="false">Prices!J14/Prices!J13-1</f>
        <v>-0.032232703135507</v>
      </c>
      <c r="K13" s="14" t="n">
        <f aca="false">Prices!K14/Prices!K13-1</f>
        <v>0.000721838454774471</v>
      </c>
      <c r="L13" s="14" t="n">
        <f aca="false">Prices!L14/Prices!L13-1</f>
        <v>0.0201492948171622</v>
      </c>
      <c r="M13" s="14" t="n">
        <f aca="false">Prices!M14/Prices!M13-1</f>
        <v>-0.0057159521285407</v>
      </c>
      <c r="N13" s="14" t="n">
        <f aca="false">Prices!N14/Prices!N13-1</f>
        <v>0.0112793625054781</v>
      </c>
      <c r="O13" s="19" t="n">
        <f aca="false">Prices!O13/100/12</f>
        <v>0.000841666666666667</v>
      </c>
    </row>
    <row r="14" customFormat="false" ht="15" hidden="false" customHeight="false" outlineLevel="0" collapsed="false">
      <c r="A14" s="17" t="n">
        <f aca="false">Prices!A15</f>
        <v>43039</v>
      </c>
      <c r="B14" s="14" t="n">
        <f aca="false">Prices!B15/Prices!B14-1</f>
        <v>0.0216953743962747</v>
      </c>
      <c r="C14" s="14" t="n">
        <f aca="false">Prices!C15/Prices!C14-1</f>
        <v>0.0177382173632643</v>
      </c>
      <c r="D14" s="14" t="n">
        <f aca="false">Prices!D15/Prices!D14-1</f>
        <v>0.0243285522889658</v>
      </c>
      <c r="E14" s="14" t="n">
        <f aca="false">Prices!E15/Prices!E14-1</f>
        <v>-0.0359600535816986</v>
      </c>
      <c r="F14" s="14" t="n">
        <f aca="false">Prices!F15/Prices!F14-1</f>
        <v>0.0210192664509818</v>
      </c>
      <c r="G14" s="14" t="n">
        <f aca="false">Prices!G15/Prices!G14-1</f>
        <v>-0.0107112053422053</v>
      </c>
      <c r="H14" s="14" t="n">
        <f aca="false">Prices!H15/Prices!H14-1</f>
        <v>-0.00026822958720385</v>
      </c>
      <c r="I14" s="14" t="n">
        <f aca="false">Prices!I15/Prices!I14-1</f>
        <v>0.00268217835993956</v>
      </c>
      <c r="J14" s="14" t="n">
        <f aca="false">Prices!J15/Prices!J14-1</f>
        <v>-0.00812351713551907</v>
      </c>
      <c r="K14" s="14" t="n">
        <f aca="false">Prices!K15/Prices!K14-1</f>
        <v>0.000700260897640304</v>
      </c>
      <c r="L14" s="14" t="n">
        <f aca="false">Prices!L15/Prices!L14-1</f>
        <v>0.0235642328059347</v>
      </c>
      <c r="M14" s="14" t="n">
        <f aca="false">Prices!M15/Prices!M14-1</f>
        <v>0.000978776309893847</v>
      </c>
      <c r="N14" s="14" t="n">
        <f aca="false">Prices!N15/Prices!N14-1</f>
        <v>0.0141209431749423</v>
      </c>
      <c r="O14" s="19" t="n">
        <f aca="false">Prices!O14/100/12</f>
        <v>0.000883333333333333</v>
      </c>
    </row>
    <row r="15" customFormat="false" ht="15" hidden="false" customHeight="false" outlineLevel="0" collapsed="false">
      <c r="A15" s="17" t="n">
        <f aca="false">Prices!A16</f>
        <v>43069</v>
      </c>
      <c r="B15" s="14" t="n">
        <f aca="false">Prices!B16/Prices!B15-1</f>
        <v>0.0303029881770147</v>
      </c>
      <c r="C15" s="14" t="n">
        <f aca="false">Prices!C16/Prices!C15-1</f>
        <v>0.00860095960238305</v>
      </c>
      <c r="D15" s="14" t="n">
        <f aca="false">Prices!D16/Prices!D15-1</f>
        <v>-0.00336108576484562</v>
      </c>
      <c r="E15" s="14" t="n">
        <f aca="false">Prices!E16/Prices!E15-1</f>
        <v>0.00277783569042755</v>
      </c>
      <c r="F15" s="14" t="n">
        <f aca="false">Prices!F16/Prices!F15-1</f>
        <v>-0.0597858164312229</v>
      </c>
      <c r="G15" s="14" t="n">
        <f aca="false">Prices!G16/Prices!G15-1</f>
        <v>0.0266422988031201</v>
      </c>
      <c r="H15" s="14" t="n">
        <f aca="false">Prices!H16/Prices!H15-1</f>
        <v>-0.00106640361573529</v>
      </c>
      <c r="I15" s="14" t="n">
        <f aca="false">Prices!I16/Prices!I15-1</f>
        <v>0.00116013670058757</v>
      </c>
      <c r="J15" s="14" t="n">
        <f aca="false">Prices!J16/Prices!J15-1</f>
        <v>0.0032760032760033</v>
      </c>
      <c r="K15" s="14" t="n">
        <f aca="false">Prices!K16/Prices!K15-1</f>
        <v>0.000546727146613524</v>
      </c>
      <c r="L15" s="14" t="n">
        <f aca="false">Prices!L16/Prices!L15-1</f>
        <v>0.0305657079893771</v>
      </c>
      <c r="M15" s="14" t="n">
        <f aca="false">Prices!M16/Prices!M15-1</f>
        <v>-0.00148284441678659</v>
      </c>
      <c r="N15" s="14" t="n">
        <f aca="false">Prices!N16/Prices!N15-1</f>
        <v>0.0119204784666203</v>
      </c>
      <c r="O15" s="19" t="n">
        <f aca="false">Prices!O15/100/12</f>
        <v>0.000958333333333333</v>
      </c>
    </row>
    <row r="16" customFormat="false" ht="15" hidden="false" customHeight="false" outlineLevel="0" collapsed="false">
      <c r="A16" s="17" t="n">
        <f aca="false">Prices!A17</f>
        <v>43100</v>
      </c>
      <c r="B16" s="14" t="n">
        <f aca="false">Prices!B17/Prices!B16-1</f>
        <v>0.0116102287737152</v>
      </c>
      <c r="C16" s="14" t="n">
        <f aca="false">Prices!C17/Prices!C16-1</f>
        <v>0.0165412194656323</v>
      </c>
      <c r="D16" s="14" t="n">
        <f aca="false">Prices!D17/Prices!D16-1</f>
        <v>0.0370538640956215</v>
      </c>
      <c r="E16" s="14" t="n">
        <f aca="false">Prices!E17/Prices!E16-1</f>
        <v>0.0499807893986775</v>
      </c>
      <c r="F16" s="14" t="n">
        <f aca="false">Prices!F17/Prices!F16-1</f>
        <v>0.0138694375698423</v>
      </c>
      <c r="G16" s="14" t="n">
        <f aca="false">Prices!G17/Prices!G16-1</f>
        <v>-0.0014743671185059</v>
      </c>
      <c r="H16" s="14" t="n">
        <f aca="false">Prices!H17/Prices!H16-1</f>
        <v>0.00541049864996923</v>
      </c>
      <c r="I16" s="14" t="n">
        <f aca="false">Prices!I17/Prices!I16-1</f>
        <v>0.0096626469609884</v>
      </c>
      <c r="J16" s="14" t="n">
        <f aca="false">Prices!J17/Prices!J16-1</f>
        <v>0.0212244897959184</v>
      </c>
      <c r="K16" s="14" t="n">
        <f aca="false">Prices!K17/Prices!K16-1</f>
        <v>0.000743947274074452</v>
      </c>
      <c r="L16" s="14" t="n">
        <f aca="false">Prices!L17/Prices!L16-1</f>
        <v>0.012128031118313</v>
      </c>
      <c r="M16" s="14" t="n">
        <f aca="false">Prices!M17/Prices!M16-1</f>
        <v>0.00475166613270628</v>
      </c>
      <c r="N16" s="14" t="n">
        <f aca="false">Prices!N17/Prices!N16-1</f>
        <v>0.0103225419060764</v>
      </c>
      <c r="O16" s="19" t="n">
        <f aca="false">Prices!O16/100/12</f>
        <v>0.00105833333333333</v>
      </c>
    </row>
    <row r="17" customFormat="false" ht="15" hidden="false" customHeight="false" outlineLevel="0" collapsed="false">
      <c r="A17" s="17" t="n">
        <f aca="false">Prices!A18</f>
        <v>43131</v>
      </c>
      <c r="B17" s="14" t="n">
        <f aca="false">Prices!B18/Prices!B17-1</f>
        <v>0.0523133125997413</v>
      </c>
      <c r="C17" s="14" t="n">
        <f aca="false">Prices!C18/Prices!C17-1</f>
        <v>0.0474814300553474</v>
      </c>
      <c r="D17" s="14" t="n">
        <f aca="false">Prices!D18/Prices!D17-1</f>
        <v>0.0856023267423556</v>
      </c>
      <c r="E17" s="14" t="n">
        <f aca="false">Prices!E18/Prices!E17-1</f>
        <v>0.0588235239045685</v>
      </c>
      <c r="F17" s="14" t="n">
        <f aca="false">Prices!F18/Prices!F17-1</f>
        <v>0.0456550096385779</v>
      </c>
      <c r="G17" s="14" t="n">
        <f aca="false">Prices!G18/Prices!G17-1</f>
        <v>-0.0425400675946144</v>
      </c>
      <c r="H17" s="14" t="n">
        <f aca="false">Prices!H18/Prices!H17-1</f>
        <v>-0.0123826818174738</v>
      </c>
      <c r="I17" s="14" t="n">
        <f aca="false">Prices!I18/Prices!I17-1</f>
        <v>-0.00902023500328641</v>
      </c>
      <c r="J17" s="14" t="n">
        <f aca="false">Prices!J18/Prices!J17-1</f>
        <v>0.0327737809752198</v>
      </c>
      <c r="K17" s="14" t="n">
        <f aca="false">Prices!K18/Prices!K17-1</f>
        <v>0.00131324070598327</v>
      </c>
      <c r="L17" s="14" t="n">
        <f aca="false">Prices!L18/Prices!L17-1</f>
        <v>0.0563590890721954</v>
      </c>
      <c r="M17" s="14" t="n">
        <f aca="false">Prices!M18/Prices!M17-1</f>
        <v>-0.0112504221681647</v>
      </c>
      <c r="N17" s="14" t="n">
        <f aca="false">Prices!N18/Prices!N17-1</f>
        <v>0.0291631579154368</v>
      </c>
      <c r="O17" s="19" t="n">
        <f aca="false">Prices!O17/100/12</f>
        <v>0.00115833333333333</v>
      </c>
    </row>
    <row r="18" customFormat="false" ht="15" hidden="false" customHeight="false" outlineLevel="0" collapsed="false">
      <c r="A18" s="17" t="n">
        <f aca="false">Prices!A19</f>
        <v>43159</v>
      </c>
      <c r="B18" s="14" t="n">
        <f aca="false">Prices!B19/Prices!B18-1</f>
        <v>-0.037596037052906</v>
      </c>
      <c r="C18" s="14" t="n">
        <f aca="false">Prices!C19/Prices!C18-1</f>
        <v>-0.0510747416118795</v>
      </c>
      <c r="D18" s="14" t="n">
        <f aca="false">Prices!D19/Prices!D18-1</f>
        <v>-0.0535718390361053</v>
      </c>
      <c r="E18" s="14" t="n">
        <f aca="false">Prices!E19/Prices!E18-1</f>
        <v>-0.0375178676933889</v>
      </c>
      <c r="F18" s="14" t="n">
        <f aca="false">Prices!F19/Prices!F18-1</f>
        <v>-0.049354048853663</v>
      </c>
      <c r="G18" s="14" t="n">
        <f aca="false">Prices!G19/Prices!G18-1</f>
        <v>-0.0767780363928352</v>
      </c>
      <c r="H18" s="14" t="n">
        <f aca="false">Prices!H19/Prices!H18-1</f>
        <v>-0.0103621265884208</v>
      </c>
      <c r="I18" s="14" t="n">
        <f aca="false">Prices!I19/Prices!I18-1</f>
        <v>-0.00910273421326036</v>
      </c>
      <c r="J18" s="14" t="n">
        <f aca="false">Prices!J19/Prices!J18-1</f>
        <v>-0.0201238390092879</v>
      </c>
      <c r="K18" s="14" t="n">
        <f aca="false">Prices!K19/Prices!K18-1</f>
        <v>0.00083084984069437</v>
      </c>
      <c r="L18" s="14" t="n">
        <f aca="false">Prices!L19/Prices!L18-1</f>
        <v>-0.036360102198373</v>
      </c>
      <c r="M18" s="14" t="n">
        <f aca="false">Prices!M19/Prices!M18-1</f>
        <v>-0.0100878313049376</v>
      </c>
      <c r="N18" s="14" t="n">
        <f aca="false">Prices!N19/Prices!N18-1</f>
        <v>-0.0326627977467567</v>
      </c>
      <c r="O18" s="19" t="n">
        <f aca="false">Prices!O18/100/12</f>
        <v>0.00121666666666667</v>
      </c>
    </row>
    <row r="19" customFormat="false" ht="15" hidden="false" customHeight="false" outlineLevel="0" collapsed="false">
      <c r="A19" s="17" t="n">
        <f aca="false">Prices!A20</f>
        <v>43190</v>
      </c>
      <c r="B19" s="14" t="n">
        <f aca="false">Prices!B20/Prices!B19-1</f>
        <v>-0.0196314533152702</v>
      </c>
      <c r="C19" s="14" t="n">
        <f aca="false">Prices!C20/Prices!C19-1</f>
        <v>-0.00389902660409125</v>
      </c>
      <c r="D19" s="14" t="n">
        <f aca="false">Prices!D20/Prices!D19-1</f>
        <v>-0.00209167801965537</v>
      </c>
      <c r="E19" s="14" t="n">
        <f aca="false">Prices!E20/Prices!E19-1</f>
        <v>0.0978258203402433</v>
      </c>
      <c r="F19" s="14" t="n">
        <f aca="false">Prices!F20/Prices!F19-1</f>
        <v>0.00239524531902102</v>
      </c>
      <c r="G19" s="14" t="n">
        <f aca="false">Prices!G20/Prices!G19-1</f>
        <v>0.0389075982637357</v>
      </c>
      <c r="H19" s="14" t="n">
        <f aca="false">Prices!H20/Prices!H19-1</f>
        <v>0.00686471568109193</v>
      </c>
      <c r="I19" s="14" t="n">
        <f aca="false">Prices!I20/Prices!I19-1</f>
        <v>0.00826774449523171</v>
      </c>
      <c r="J19" s="14" t="n">
        <f aca="false">Prices!J20/Prices!J19-1</f>
        <v>0.00552918641390199</v>
      </c>
      <c r="K19" s="14" t="n">
        <f aca="false">Prices!K20/Prices!K19-1</f>
        <v>0.00130170682577213</v>
      </c>
      <c r="L19" s="14" t="n">
        <f aca="false">Prices!L20/Prices!L19-1</f>
        <v>-0.0274108792105162</v>
      </c>
      <c r="M19" s="14" t="n">
        <f aca="false">Prices!M20/Prices!M19-1</f>
        <v>0.00671160299013796</v>
      </c>
      <c r="N19" s="14" t="n">
        <f aca="false">Prices!N20/Prices!N19-1</f>
        <v>-0.00335400015698117</v>
      </c>
      <c r="O19" s="19" t="n">
        <f aca="false">Prices!O19/100/12</f>
        <v>0.001375</v>
      </c>
    </row>
    <row r="20" customFormat="false" ht="15" hidden="false" customHeight="false" outlineLevel="0" collapsed="false">
      <c r="A20" s="17" t="n">
        <f aca="false">Prices!A21</f>
        <v>43220</v>
      </c>
      <c r="B20" s="14" t="n">
        <f aca="false">Prices!B21/Prices!B20-1</f>
        <v>0.00449447407699699</v>
      </c>
      <c r="C20" s="14" t="n">
        <f aca="false">Prices!C21/Prices!C20-1</f>
        <v>0.0126550327859378</v>
      </c>
      <c r="D20" s="14" t="n">
        <f aca="false">Prices!D21/Prices!D20-1</f>
        <v>-0.0276714488141475</v>
      </c>
      <c r="E20" s="14" t="n">
        <f aca="false">Prices!E21/Prices!E20-1</f>
        <v>0.0440425274727621</v>
      </c>
      <c r="F20" s="14" t="n">
        <f aca="false">Prices!F21/Prices!F20-1</f>
        <v>-0.0125445593938399</v>
      </c>
      <c r="G20" s="14" t="n">
        <f aca="false">Prices!G21/Prices!G20-1</f>
        <v>0.00821489995706637</v>
      </c>
      <c r="H20" s="14" t="n">
        <f aca="false">Prices!H21/Prices!H20-1</f>
        <v>-0.00852849027767011</v>
      </c>
      <c r="I20" s="14" t="n">
        <f aca="false">Prices!I21/Prices!I20-1</f>
        <v>-7.29493398380354E-005</v>
      </c>
      <c r="J20" s="14" t="n">
        <f aca="false">Prices!J21/Prices!J20-1</f>
        <v>-0.00864096656091784</v>
      </c>
      <c r="K20" s="14" t="n">
        <f aca="false">Prices!K21/Prices!K20-1</f>
        <v>0.00103872602076693</v>
      </c>
      <c r="L20" s="14" t="n">
        <f aca="false">Prices!L21/Prices!L20-1</f>
        <v>0.00516838876274717</v>
      </c>
      <c r="M20" s="14" t="n">
        <f aca="false">Prices!M21/Prices!M20-1</f>
        <v>-0.00941052973946199</v>
      </c>
      <c r="N20" s="14" t="n">
        <f aca="false">Prices!N21/Prices!N20-1</f>
        <v>-0.00130954254427718</v>
      </c>
      <c r="O20" s="19" t="n">
        <f aca="false">Prices!O20/100/12</f>
        <v>0.00144166666666667</v>
      </c>
    </row>
    <row r="21" customFormat="false" ht="15" hidden="false" customHeight="false" outlineLevel="0" collapsed="false">
      <c r="A21" s="17" t="n">
        <f aca="false">Prices!A22</f>
        <v>43251</v>
      </c>
      <c r="B21" s="14" t="n">
        <f aca="false">Prices!B22/Prices!B21-1</f>
        <v>0.0272134310714851</v>
      </c>
      <c r="C21" s="14" t="n">
        <f aca="false">Prices!C22/Prices!C21-1</f>
        <v>-0.0142824736554098</v>
      </c>
      <c r="D21" s="14" t="n">
        <f aca="false">Prices!D22/Prices!D21-1</f>
        <v>-0.0234236732640056</v>
      </c>
      <c r="E21" s="14" t="n">
        <f aca="false">Prices!E22/Prices!E21-1</f>
        <v>0.0147154928701443</v>
      </c>
      <c r="F21" s="14" t="n">
        <f aca="false">Prices!F22/Prices!F21-1</f>
        <v>-0.0127042730645832</v>
      </c>
      <c r="G21" s="14" t="n">
        <f aca="false">Prices!G22/Prices!G21-1</f>
        <v>0.0367989705044502</v>
      </c>
      <c r="H21" s="14" t="n">
        <f aca="false">Prices!H22/Prices!H21-1</f>
        <v>0.00682123694699421</v>
      </c>
      <c r="I21" s="14" t="n">
        <f aca="false">Prices!I22/Prices!I21-1</f>
        <v>0.00252980148642168</v>
      </c>
      <c r="J21" s="14" t="n">
        <f aca="false">Prices!J22/Prices!J21-1</f>
        <v>-0.0126782884310617</v>
      </c>
      <c r="K21" s="14" t="n">
        <f aca="false">Prices!K22/Prices!K21-1</f>
        <v>0.00149837261883889</v>
      </c>
      <c r="L21" s="14" t="n">
        <f aca="false">Prices!L22/Prices!L21-1</f>
        <v>0.0243090080260584</v>
      </c>
      <c r="M21" s="14" t="n">
        <f aca="false">Prices!M22/Prices!M21-1</f>
        <v>0.00661864884466068</v>
      </c>
      <c r="N21" s="14" t="n">
        <f aca="false">Prices!N22/Prices!N21-1</f>
        <v>0.00496105608596165</v>
      </c>
      <c r="O21" s="19" t="n">
        <f aca="false">Prices!O21/100/12</f>
        <v>0.00155833333333333</v>
      </c>
    </row>
    <row r="22" customFormat="false" ht="15" hidden="false" customHeight="false" outlineLevel="0" collapsed="false">
      <c r="A22" s="17" t="n">
        <f aca="false">Prices!A23</f>
        <v>43281</v>
      </c>
      <c r="B22" s="14" t="n">
        <f aca="false">Prices!B23/Prices!B22-1</f>
        <v>0.00703547428362628</v>
      </c>
      <c r="C22" s="14" t="n">
        <f aca="false">Prices!C23/Prices!C22-1</f>
        <v>-0.0165324974502686</v>
      </c>
      <c r="D22" s="14" t="n">
        <f aca="false">Prices!D23/Prices!D22-1</f>
        <v>-0.0478948264640895</v>
      </c>
      <c r="E22" s="14" t="n">
        <f aca="false">Prices!E23/Prices!E22-1</f>
        <v>0.0203419905283349</v>
      </c>
      <c r="F22" s="14" t="n">
        <f aca="false">Prices!F23/Prices!F22-1</f>
        <v>-0.0264609526115921</v>
      </c>
      <c r="G22" s="14" t="n">
        <f aca="false">Prices!G23/Prices!G22-1</f>
        <v>0.0420216556190038</v>
      </c>
      <c r="H22" s="14" t="n">
        <f aca="false">Prices!H23/Prices!H22-1</f>
        <v>0.00188493388770894</v>
      </c>
      <c r="I22" s="14" t="n">
        <f aca="false">Prices!I23/Prices!I22-1</f>
        <v>0.006377946820745</v>
      </c>
      <c r="J22" s="14" t="n">
        <f aca="false">Prices!J23/Prices!J22-1</f>
        <v>-0.0353129614767256</v>
      </c>
      <c r="K22" s="14" t="n">
        <f aca="false">Prices!K23/Prices!K22-1</f>
        <v>0.00148723814626006</v>
      </c>
      <c r="L22" s="14" t="n">
        <f aca="false">Prices!L23/Prices!L22-1</f>
        <v>0.00575089219468627</v>
      </c>
      <c r="M22" s="14" t="n">
        <f aca="false">Prices!M23/Prices!M22-1</f>
        <v>0.00102624296668674</v>
      </c>
      <c r="N22" s="14" t="n">
        <f aca="false">Prices!N23/Prices!N22-1</f>
        <v>-0.00471213003905679</v>
      </c>
      <c r="O22" s="19" t="n">
        <f aca="false">Prices!O22/100/12</f>
        <v>0.00160833333333333</v>
      </c>
    </row>
    <row r="23" customFormat="false" ht="15" hidden="false" customHeight="false" outlineLevel="0" collapsed="false">
      <c r="A23" s="17" t="n">
        <f aca="false">Prices!A24</f>
        <v>43312</v>
      </c>
      <c r="B23" s="14" t="n">
        <f aca="false">Prices!B24/Prices!B23-1</f>
        <v>0.0331843516835393</v>
      </c>
      <c r="C23" s="14" t="n">
        <f aca="false">Prices!C24/Prices!C23-1</f>
        <v>0.0228437214910291</v>
      </c>
      <c r="D23" s="14" t="n">
        <f aca="false">Prices!D24/Prices!D23-1</f>
        <v>0.0398105057141311</v>
      </c>
      <c r="E23" s="14" t="n">
        <f aca="false">Prices!E24/Prices!E23-1</f>
        <v>-0.00478176910322303</v>
      </c>
      <c r="F23" s="14" t="n">
        <f aca="false">Prices!F24/Prices!F23-1</f>
        <v>0.0374506900335736</v>
      </c>
      <c r="G23" s="14" t="n">
        <f aca="false">Prices!G24/Prices!G23-1</f>
        <v>0.00601608751167615</v>
      </c>
      <c r="H23" s="14" t="n">
        <f aca="false">Prices!H24/Prices!H23-1</f>
        <v>-0.000367288851394809</v>
      </c>
      <c r="I23" s="14" t="n">
        <f aca="false">Prices!I24/Prices!I23-1</f>
        <v>-0.00522225192226922</v>
      </c>
      <c r="J23" s="14" t="n">
        <f aca="false">Prices!J24/Prices!J23-1</f>
        <v>-0.0232945497797609</v>
      </c>
      <c r="K23" s="14" t="n">
        <f aca="false">Prices!K24/Prices!K23-1</f>
        <v>0.00138877625949529</v>
      </c>
      <c r="L23" s="14" t="n">
        <f aca="false">Prices!L24/Prices!L23-1</f>
        <v>0.0370468420421906</v>
      </c>
      <c r="M23" s="14" t="n">
        <f aca="false">Prices!M24/Prices!M23-1</f>
        <v>-0.000291617494287411</v>
      </c>
      <c r="N23" s="14" t="n">
        <f aca="false">Prices!N24/Prices!N23-1</f>
        <v>0.0202823958611973</v>
      </c>
      <c r="O23" s="19" t="n">
        <f aca="false">Prices!O23/100/12</f>
        <v>0.00160833333333333</v>
      </c>
    </row>
    <row r="24" customFormat="false" ht="15" hidden="false" customHeight="false" outlineLevel="0" collapsed="false">
      <c r="A24" s="17" t="n">
        <f aca="false">Prices!A25</f>
        <v>43343</v>
      </c>
      <c r="B24" s="14" t="n">
        <f aca="false">Prices!B25/Prices!B24-1</f>
        <v>0.0343233360484325</v>
      </c>
      <c r="C24" s="14" t="n">
        <f aca="false">Prices!C25/Prices!C24-1</f>
        <v>-0.0173199664689593</v>
      </c>
      <c r="D24" s="14" t="n">
        <f aca="false">Prices!D25/Prices!D24-1</f>
        <v>-0.0419325339652004</v>
      </c>
      <c r="E24" s="14" t="n">
        <f aca="false">Prices!E25/Prices!E24-1</f>
        <v>-0.0550928220262232</v>
      </c>
      <c r="F24" s="14" t="n">
        <f aca="false">Prices!F25/Prices!F24-1</f>
        <v>-0.0151993563846812</v>
      </c>
      <c r="G24" s="14" t="n">
        <f aca="false">Prices!G25/Prices!G24-1</f>
        <v>0.0257506475767446</v>
      </c>
      <c r="H24" s="14" t="n">
        <f aca="false">Prices!H25/Prices!H24-1</f>
        <v>0.0066885615250174</v>
      </c>
      <c r="I24" s="14" t="n">
        <f aca="false">Prices!I25/Prices!I24-1</f>
        <v>0.00681812823908001</v>
      </c>
      <c r="J24" s="14" t="n">
        <f aca="false">Prices!J25/Prices!J24-1</f>
        <v>-0.020442930153322</v>
      </c>
      <c r="K24" s="14" t="n">
        <f aca="false">Prices!K25/Prices!K24-1</f>
        <v>0.00158537527768599</v>
      </c>
      <c r="L24" s="14" t="n">
        <f aca="false">Prices!L25/Prices!L24-1</f>
        <v>0.0319197387417369</v>
      </c>
      <c r="M24" s="14" t="n">
        <f aca="false">Prices!M25/Prices!M24-1</f>
        <v>0.00567979386753592</v>
      </c>
      <c r="N24" s="14" t="n">
        <f aca="false">Prices!N25/Prices!N24-1</f>
        <v>0.00623885503960575</v>
      </c>
      <c r="O24" s="19" t="n">
        <f aca="false">Prices!O24/100/12</f>
        <v>0.00169166666666667</v>
      </c>
    </row>
    <row r="25" customFormat="false" ht="15" hidden="false" customHeight="false" outlineLevel="0" collapsed="false">
      <c r="A25" s="17" t="n">
        <f aca="false">Prices!A26</f>
        <v>43373</v>
      </c>
      <c r="B25" s="14" t="n">
        <f aca="false">Prices!B26/Prices!B25-1</f>
        <v>0.00196100389807663</v>
      </c>
      <c r="C25" s="14" t="n">
        <f aca="false">Prices!C26/Prices!C25-1</f>
        <v>0.00710837354797578</v>
      </c>
      <c r="D25" s="14" t="n">
        <f aca="false">Prices!D26/Prices!D25-1</f>
        <v>-0.0134578296428531</v>
      </c>
      <c r="E25" s="14" t="n">
        <f aca="false">Prices!E26/Prices!E25-1</f>
        <v>0.0115592770430228</v>
      </c>
      <c r="F25" s="14" t="n">
        <f aca="false">Prices!F26/Prices!F25-1</f>
        <v>-0.0180063991993015</v>
      </c>
      <c r="G25" s="14" t="n">
        <f aca="false">Prices!G26/Prices!G25-1</f>
        <v>-0.0266438391089059</v>
      </c>
      <c r="H25" s="14" t="n">
        <f aca="false">Prices!H26/Prices!H25-1</f>
        <v>-0.00545904540947007</v>
      </c>
      <c r="I25" s="14" t="n">
        <f aca="false">Prices!I26/Prices!I25-1</f>
        <v>-0.0096171416902876</v>
      </c>
      <c r="J25" s="14" t="n">
        <f aca="false">Prices!J26/Prices!J25-1</f>
        <v>-0.00608691304347819</v>
      </c>
      <c r="K25" s="14" t="n">
        <f aca="false">Prices!K26/Prices!K25-1</f>
        <v>0.00140009407556851</v>
      </c>
      <c r="L25" s="14" t="n">
        <f aca="false">Prices!L26/Prices!L25-1</f>
        <v>0.00594515247559335</v>
      </c>
      <c r="M25" s="14" t="n">
        <f aca="false">Prices!M26/Prices!M25-1</f>
        <v>-0.00619713223943663</v>
      </c>
      <c r="N25" s="14" t="n">
        <f aca="false">Prices!N26/Prices!N25-1</f>
        <v>-0.000664222772791656</v>
      </c>
      <c r="O25" s="19" t="n">
        <f aca="false">Prices!O25/100/12</f>
        <v>0.00175833333333333</v>
      </c>
    </row>
    <row r="26" customFormat="false" ht="15" hidden="false" customHeight="false" outlineLevel="0" collapsed="false">
      <c r="A26" s="17" t="n">
        <f aca="false">Prices!A27</f>
        <v>43404</v>
      </c>
      <c r="B26" s="14" t="n">
        <f aca="false">Prices!B27/Prices!B26-1</f>
        <v>-0.0741063179074373</v>
      </c>
      <c r="C26" s="14" t="n">
        <f aca="false">Prices!C27/Prices!C26-1</f>
        <v>-0.0859719312195036</v>
      </c>
      <c r="D26" s="14" t="n">
        <f aca="false">Prices!D27/Prices!D26-1</f>
        <v>-0.0765853389809759</v>
      </c>
      <c r="E26" s="14" t="n">
        <f aca="false">Prices!E27/Prices!E26-1</f>
        <v>-0.00405476498260871</v>
      </c>
      <c r="F26" s="14" t="n">
        <f aca="false">Prices!F27/Prices!F26-1</f>
        <v>-0.00589416046027802</v>
      </c>
      <c r="G26" s="14" t="n">
        <f aca="false">Prices!G27/Prices!G26-1</f>
        <v>-0.0292513398997449</v>
      </c>
      <c r="H26" s="14" t="n">
        <f aca="false">Prices!H27/Prices!H26-1</f>
        <v>-0.00862249217525513</v>
      </c>
      <c r="I26" s="14" t="n">
        <f aca="false">Prices!I27/Prices!I26-1</f>
        <v>-0.0147960868656136</v>
      </c>
      <c r="J26" s="14" t="n">
        <f aca="false">Prices!J27/Prices!J26-1</f>
        <v>0.0209973306650337</v>
      </c>
      <c r="K26" s="14" t="n">
        <f aca="false">Prices!K27/Prices!K26-1</f>
        <v>0.00170598696616087</v>
      </c>
      <c r="L26" s="14" t="n">
        <f aca="false">Prices!L27/Prices!L26-1</f>
        <v>-0.0691037561569586</v>
      </c>
      <c r="M26" s="14" t="n">
        <f aca="false">Prices!M27/Prices!M26-1</f>
        <v>-0.00644101643892081</v>
      </c>
      <c r="N26" s="14" t="n">
        <f aca="false">Prices!N27/Prices!N26-1</f>
        <v>-0.0490444652223278</v>
      </c>
      <c r="O26" s="19" t="n">
        <f aca="false">Prices!O26/100/12</f>
        <v>0.001825</v>
      </c>
    </row>
    <row r="27" customFormat="false" ht="15" hidden="false" customHeight="false" outlineLevel="0" collapsed="false">
      <c r="A27" s="17" t="n">
        <f aca="false">Prices!A28</f>
        <v>43434</v>
      </c>
      <c r="B27" s="14" t="n">
        <f aca="false">Prices!B28/Prices!B27-1</f>
        <v>0.0201354250831567</v>
      </c>
      <c r="C27" s="14" t="n">
        <f aca="false">Prices!C28/Prices!C27-1</f>
        <v>0.00505663188095351</v>
      </c>
      <c r="D27" s="14" t="n">
        <f aca="false">Prices!D28/Prices!D27-1</f>
        <v>0.0483360742833925</v>
      </c>
      <c r="E27" s="14" t="n">
        <f aca="false">Prices!E28/Prices!E27-1</f>
        <v>-0.0397039106839121</v>
      </c>
      <c r="F27" s="14" t="n">
        <f aca="false">Prices!F28/Prices!F27-1</f>
        <v>-0.0467718894203988</v>
      </c>
      <c r="G27" s="14" t="n">
        <f aca="false">Prices!G28/Prices!G27-1</f>
        <v>0.0467311773980046</v>
      </c>
      <c r="H27" s="14" t="n">
        <f aca="false">Prices!H28/Prices!H27-1</f>
        <v>0.00636241632739965</v>
      </c>
      <c r="I27" s="14" t="n">
        <f aca="false">Prices!I28/Prices!I27-1</f>
        <v>0.00415103510404125</v>
      </c>
      <c r="J27" s="14" t="n">
        <f aca="false">Prices!J28/Prices!J27-1</f>
        <v>0.00342759211653831</v>
      </c>
      <c r="K27" s="14" t="n">
        <f aca="false">Prices!K28/Prices!K27-1</f>
        <v>0.0018588904785799</v>
      </c>
      <c r="L27" s="14" t="n">
        <f aca="false">Prices!L28/Prices!L27-1</f>
        <v>0.0185491142280283</v>
      </c>
      <c r="M27" s="14" t="n">
        <f aca="false">Prices!M28/Prices!M27-1</f>
        <v>0.00771574947132647</v>
      </c>
      <c r="N27" s="14" t="n">
        <f aca="false">Prices!N28/Prices!N27-1</f>
        <v>0.0116983088847602</v>
      </c>
      <c r="O27" s="19" t="n">
        <f aca="false">Prices!O27/100/12</f>
        <v>0.00195</v>
      </c>
    </row>
    <row r="28" customFormat="false" ht="15" hidden="false" customHeight="false" outlineLevel="0" collapsed="false">
      <c r="A28" s="17" t="n">
        <f aca="false">Prices!A29</f>
        <v>43465</v>
      </c>
      <c r="B28" s="14" t="n">
        <f aca="false">Prices!B29/Prices!B28-1</f>
        <v>-0.091760894421295</v>
      </c>
      <c r="C28" s="14" t="n">
        <f aca="false">Prices!C29/Prices!C28-1</f>
        <v>-0.0567757349814866</v>
      </c>
      <c r="D28" s="14" t="n">
        <f aca="false">Prices!D29/Prices!D28-1</f>
        <v>-0.0334499225855922</v>
      </c>
      <c r="E28" s="14" t="n">
        <f aca="false">Prices!E29/Prices!E28-1</f>
        <v>0.0276919188932423</v>
      </c>
      <c r="F28" s="14" t="n">
        <f aca="false">Prices!F29/Prices!F28-1</f>
        <v>-0.0481788209080049</v>
      </c>
      <c r="G28" s="14" t="n">
        <f aca="false">Prices!G29/Prices!G28-1</f>
        <v>-0.0795189626906062</v>
      </c>
      <c r="H28" s="14" t="n">
        <f aca="false">Prices!H29/Prices!H28-1</f>
        <v>0.0187439778779284</v>
      </c>
      <c r="I28" s="14" t="n">
        <f aca="false">Prices!I29/Prices!I28-1</f>
        <v>0.00570902863565825</v>
      </c>
      <c r="J28" s="14" t="n">
        <f aca="false">Prices!J29/Prices!J28-1</f>
        <v>0.0495303159692568</v>
      </c>
      <c r="K28" s="14" t="n">
        <f aca="false">Prices!K29/Prices!K28-1</f>
        <v>0.00182788535556133</v>
      </c>
      <c r="L28" s="14" t="n">
        <f aca="false">Prices!L29/Prices!L28-1</f>
        <v>-0.088048751114037</v>
      </c>
      <c r="M28" s="14" t="n">
        <f aca="false">Prices!M29/Prices!M28-1</f>
        <v>0.0198118376382019</v>
      </c>
      <c r="N28" s="14" t="n">
        <f aca="false">Prices!N29/Prices!N28-1</f>
        <v>-0.0373804567280673</v>
      </c>
      <c r="O28" s="19" t="n">
        <f aca="false">Prices!O28/100/12</f>
        <v>0.001975</v>
      </c>
    </row>
    <row r="29" customFormat="false" ht="15" hidden="false" customHeight="false" outlineLevel="0" collapsed="false">
      <c r="A29" s="17" t="n">
        <f aca="false">Prices!A30</f>
        <v>43496</v>
      </c>
      <c r="B29" s="14" t="n">
        <f aca="false">Prices!B30/Prices!B29-1</f>
        <v>0.0854030929806136</v>
      </c>
      <c r="C29" s="14" t="n">
        <f aca="false">Prices!C30/Prices!C29-1</f>
        <v>0.0746629362372093</v>
      </c>
      <c r="D29" s="14" t="n">
        <f aca="false">Prices!D30/Prices!D29-1</f>
        <v>0.0965879923913027</v>
      </c>
      <c r="E29" s="14" t="n">
        <f aca="false">Prices!E30/Prices!E29-1</f>
        <v>0.105226781303081</v>
      </c>
      <c r="F29" s="14" t="n">
        <f aca="false">Prices!F30/Prices!F29-1</f>
        <v>0.038685700398051</v>
      </c>
      <c r="G29" s="14" t="n">
        <f aca="false">Prices!G30/Prices!G29-1</f>
        <v>0.118546492929035</v>
      </c>
      <c r="H29" s="14" t="n">
        <f aca="false">Prices!H30/Prices!H29-1</f>
        <v>0.0111096603509027</v>
      </c>
      <c r="I29" s="14" t="n">
        <f aca="false">Prices!I30/Prices!I29-1</f>
        <v>0.0152112205264099</v>
      </c>
      <c r="J29" s="14" t="n">
        <f aca="false">Prices!J30/Prices!J29-1</f>
        <v>0.0284784784377543</v>
      </c>
      <c r="K29" s="14" t="n">
        <f aca="false">Prices!K30/Prices!K29-1</f>
        <v>0.00174908363987258</v>
      </c>
      <c r="L29" s="14" t="n">
        <f aca="false">Prices!L30/Prices!L29-1</f>
        <v>0.0800655033213211</v>
      </c>
      <c r="M29" s="14" t="n">
        <f aca="false">Prices!M30/Prices!M29-1</f>
        <v>0.00910887036151076</v>
      </c>
      <c r="N29" s="14" t="n">
        <f aca="false">Prices!N30/Prices!N29-1</f>
        <v>0.0491403071672691</v>
      </c>
      <c r="O29" s="19" t="n">
        <f aca="false">Prices!O29/100/12</f>
        <v>0.00204166666666667</v>
      </c>
    </row>
    <row r="30" customFormat="false" ht="15" hidden="false" customHeight="false" outlineLevel="0" collapsed="false">
      <c r="A30" s="17" t="n">
        <f aca="false">Prices!A31</f>
        <v>43524</v>
      </c>
      <c r="B30" s="14" t="n">
        <f aca="false">Prices!B31/Prices!B30-1</f>
        <v>0.0355880210969828</v>
      </c>
      <c r="C30" s="14" t="n">
        <f aca="false">Prices!C31/Prices!C30-1</f>
        <v>0.0233260158509399</v>
      </c>
      <c r="D30" s="14" t="n">
        <f aca="false">Prices!D31/Prices!D30-1</f>
        <v>-0.00382970393082449</v>
      </c>
      <c r="E30" s="14" t="n">
        <f aca="false">Prices!E31/Prices!E30-1</f>
        <v>-0.00407124624746957</v>
      </c>
      <c r="F30" s="14" t="n">
        <f aca="false">Prices!F31/Prices!F30-1</f>
        <v>0.0372455321526066</v>
      </c>
      <c r="G30" s="14" t="n">
        <f aca="false">Prices!G31/Prices!G30-1</f>
        <v>0.00695381563468733</v>
      </c>
      <c r="H30" s="14" t="n">
        <f aca="false">Prices!H31/Prices!H30-1</f>
        <v>-0.000902074376547657</v>
      </c>
      <c r="I30" s="14" t="n">
        <f aca="false">Prices!I31/Prices!I30-1</f>
        <v>-0.00166494725009403</v>
      </c>
      <c r="J30" s="14" t="n">
        <f aca="false">Prices!J31/Prices!J30-1</f>
        <v>-0.00474687481222802</v>
      </c>
      <c r="K30" s="14" t="n">
        <f aca="false">Prices!K31/Prices!K30-1</f>
        <v>0.00184831384816064</v>
      </c>
      <c r="L30" s="14" t="n">
        <f aca="false">Prices!L31/Prices!L30-1</f>
        <v>0.032416445225347</v>
      </c>
      <c r="M30" s="14" t="n">
        <f aca="false">Prices!M31/Prices!M30-1</f>
        <v>-0.00113766976260032</v>
      </c>
      <c r="N30" s="14" t="n">
        <f aca="false">Prices!N31/Prices!N30-1</f>
        <v>0.0161514464801127</v>
      </c>
      <c r="O30" s="19" t="n">
        <f aca="false">Prices!O30/100/12</f>
        <v>0.00200833333333333</v>
      </c>
    </row>
    <row r="31" customFormat="false" ht="15" hidden="false" customHeight="false" outlineLevel="0" collapsed="false">
      <c r="A31" s="17" t="n">
        <f aca="false">Prices!A32</f>
        <v>43555</v>
      </c>
      <c r="B31" s="14" t="n">
        <f aca="false">Prices!B32/Prices!B31-1</f>
        <v>0.0141670483922434</v>
      </c>
      <c r="C31" s="14" t="n">
        <f aca="false">Prices!C32/Prices!C31-1</f>
        <v>0.0060167523671435</v>
      </c>
      <c r="D31" s="14" t="n">
        <f aca="false">Prices!D32/Prices!D31-1</f>
        <v>0.0231484554785972</v>
      </c>
      <c r="E31" s="14" t="n">
        <f aca="false">Prices!E32/Prices!E31-1</f>
        <v>0.0471698542535353</v>
      </c>
      <c r="F31" s="14" t="n">
        <f aca="false">Prices!F32/Prices!F31-1</f>
        <v>-0.00223581304790543</v>
      </c>
      <c r="G31" s="14" t="n">
        <f aca="false">Prices!G32/Prices!G31-1</f>
        <v>0.0421642433278986</v>
      </c>
      <c r="H31" s="14" t="n">
        <f aca="false">Prices!H32/Prices!H31-1</f>
        <v>0.0193889627093937</v>
      </c>
      <c r="I31" s="14" t="n">
        <f aca="false">Prices!I32/Prices!I31-1</f>
        <v>0.0190849200840157</v>
      </c>
      <c r="J31" s="14" t="n">
        <f aca="false">Prices!J32/Prices!J31-1</f>
        <v>-0.0158982511923688</v>
      </c>
      <c r="K31" s="14" t="n">
        <f aca="false">Prices!K32/Prices!K31-1</f>
        <v>0.00174972698748177</v>
      </c>
      <c r="L31" s="14" t="n">
        <f aca="false">Prices!L32/Prices!L31-1</f>
        <v>0.0181002812741868</v>
      </c>
      <c r="M31" s="14" t="n">
        <f aca="false">Prices!M32/Prices!M31-1</f>
        <v>0.0212255716486489</v>
      </c>
      <c r="N31" s="14" t="n">
        <f aca="false">Prices!N32/Prices!N31-1</f>
        <v>0.0149863954799974</v>
      </c>
      <c r="O31" s="19" t="n">
        <f aca="false">Prices!O31/100/12</f>
        <v>0.00204166666666667</v>
      </c>
    </row>
    <row r="32" customFormat="false" ht="15" hidden="false" customHeight="false" outlineLevel="0" collapsed="false">
      <c r="A32" s="17" t="n">
        <f aca="false">Prices!A33</f>
        <v>43585</v>
      </c>
      <c r="B32" s="14" t="n">
        <f aca="false">Prices!B33/Prices!B32-1</f>
        <v>0.0392505926842419</v>
      </c>
      <c r="C32" s="14" t="n">
        <f aca="false">Prices!C33/Prices!C32-1</f>
        <v>0.0283831121811131</v>
      </c>
      <c r="D32" s="14" t="n">
        <f aca="false">Prices!D33/Prices!D32-1</f>
        <v>0.0214118805143764</v>
      </c>
      <c r="E32" s="14" t="n">
        <f aca="false">Prices!E33/Prices!E32-1</f>
        <v>0.0555553620062537</v>
      </c>
      <c r="F32" s="14" t="n">
        <f aca="false">Prices!F33/Prices!F32-1</f>
        <v>0.0497046158067074</v>
      </c>
      <c r="G32" s="14" t="n">
        <f aca="false">Prices!G33/Prices!G32-1</f>
        <v>-0.00161090780808015</v>
      </c>
      <c r="H32" s="14" t="n">
        <f aca="false">Prices!H33/Prices!H32-1</f>
        <v>-0.000247060816859435</v>
      </c>
      <c r="I32" s="14" t="n">
        <f aca="false">Prices!I33/Prices!I32-1</f>
        <v>0.00272695878239237</v>
      </c>
      <c r="J32" s="14" t="n">
        <f aca="false">Prices!J33/Prices!J32-1</f>
        <v>-0.00726978998384509</v>
      </c>
      <c r="K32" s="14" t="n">
        <f aca="false">Prices!K33/Prices!K32-1</f>
        <v>0.00192499909969213</v>
      </c>
      <c r="L32" s="14" t="n">
        <f aca="false">Prices!L33/Prices!L32-1</f>
        <v>0.040852358059811</v>
      </c>
      <c r="M32" s="14" t="n">
        <f aca="false">Prices!M33/Prices!M32-1</f>
        <v>-0.00200350813551631</v>
      </c>
      <c r="N32" s="14" t="n">
        <f aca="false">Prices!N33/Prices!N32-1</f>
        <v>0.0224630805674246</v>
      </c>
      <c r="O32" s="19" t="n">
        <f aca="false">Prices!O32/100/12</f>
        <v>0.002</v>
      </c>
    </row>
    <row r="33" customFormat="false" ht="15" hidden="false" customHeight="false" outlineLevel="0" collapsed="false">
      <c r="A33" s="17" t="n">
        <f aca="false">Prices!A34</f>
        <v>43616</v>
      </c>
      <c r="B33" s="14" t="n">
        <f aca="false">Prices!B34/Prices!B33-1</f>
        <v>-0.064498674494156</v>
      </c>
      <c r="C33" s="14" t="n">
        <f aca="false">Prices!C34/Prices!C33-1</f>
        <v>-0.0521059280899647</v>
      </c>
      <c r="D33" s="14" t="n">
        <f aca="false">Prices!D34/Prices!D33-1</f>
        <v>-0.0638103142757222</v>
      </c>
      <c r="E33" s="14" t="n">
        <f aca="false">Prices!E34/Prices!E33-1</f>
        <v>-0.0825036112683208</v>
      </c>
      <c r="F33" s="14" t="n">
        <f aca="false">Prices!F34/Prices!F33-1</f>
        <v>-0.0872630370042606</v>
      </c>
      <c r="G33" s="14" t="n">
        <f aca="false">Prices!G34/Prices!G33-1</f>
        <v>0.00138344967002113</v>
      </c>
      <c r="H33" s="14" t="n">
        <f aca="false">Prices!H34/Prices!H33-1</f>
        <v>0.0182622055266648</v>
      </c>
      <c r="I33" s="14" t="n">
        <f aca="false">Prices!I34/Prices!I33-1</f>
        <v>0.0164573106985522</v>
      </c>
      <c r="J33" s="14" t="n">
        <f aca="false">Prices!J34/Prices!J33-1</f>
        <v>0.0179007323026852</v>
      </c>
      <c r="K33" s="14" t="n">
        <f aca="false">Prices!K34/Prices!K33-1</f>
        <v>0.0021229334298134</v>
      </c>
      <c r="L33" s="14" t="n">
        <f aca="false">Prices!L34/Prices!L33-1</f>
        <v>-0.0637713067417227</v>
      </c>
      <c r="M33" s="14" t="n">
        <f aca="false">Prices!M34/Prices!M33-1</f>
        <v>0.0191082311931061</v>
      </c>
      <c r="N33" s="14" t="n">
        <f aca="false">Prices!N34/Prices!N33-1</f>
        <v>-0.0305495147821327</v>
      </c>
      <c r="O33" s="19" t="n">
        <f aca="false">Prices!O33/100/12</f>
        <v>0.002025</v>
      </c>
    </row>
    <row r="34" customFormat="false" ht="15" hidden="false" customHeight="false" outlineLevel="0" collapsed="false">
      <c r="A34" s="17" t="n">
        <f aca="false">Prices!A35</f>
        <v>43646</v>
      </c>
      <c r="B34" s="14" t="n">
        <f aca="false">Prices!B35/Prices!B34-1</f>
        <v>0.0707805320593669</v>
      </c>
      <c r="C34" s="14" t="n">
        <f aca="false">Prices!C35/Prices!C34-1</f>
        <v>0.0585932324030289</v>
      </c>
      <c r="D34" s="14" t="n">
        <f aca="false">Prices!D35/Prices!D34-1</f>
        <v>0.0537188854656687</v>
      </c>
      <c r="E34" s="14" t="n">
        <f aca="false">Prices!E35/Prices!E34-1</f>
        <v>0.0330023072154138</v>
      </c>
      <c r="F34" s="14" t="n">
        <f aca="false">Prices!F35/Prices!F34-1</f>
        <v>-0.00624723272500627</v>
      </c>
      <c r="G34" s="14" t="n">
        <f aca="false">Prices!G35/Prices!G34-1</f>
        <v>0.015542661984959</v>
      </c>
      <c r="H34" s="14" t="n">
        <f aca="false">Prices!H35/Prices!H34-1</f>
        <v>0.0124684425229764</v>
      </c>
      <c r="I34" s="14" t="n">
        <f aca="false">Prices!I35/Prices!I34-1</f>
        <v>0.00838078163538758</v>
      </c>
      <c r="J34" s="14" t="n">
        <f aca="false">Prices!J35/Prices!J34-1</f>
        <v>0.079136690647482</v>
      </c>
      <c r="K34" s="14" t="n">
        <f aca="false">Prices!K35/Prices!K34-1</f>
        <v>0.00181490131274087</v>
      </c>
      <c r="L34" s="14" t="n">
        <f aca="false">Prices!L35/Prices!L34-1</f>
        <v>0.069586284041858</v>
      </c>
      <c r="M34" s="14" t="n">
        <f aca="false">Prices!M35/Prices!M34-1</f>
        <v>0.0109859778329939</v>
      </c>
      <c r="N34" s="14" t="n">
        <f aca="false">Prices!N35/Prices!N34-1</f>
        <v>0.0433006965626679</v>
      </c>
      <c r="O34" s="19" t="n">
        <f aca="false">Prices!O34/100/12</f>
        <v>0.00195833333333333</v>
      </c>
    </row>
    <row r="35" customFormat="false" ht="15" hidden="false" customHeight="false" outlineLevel="0" collapsed="false">
      <c r="A35" s="17" t="n">
        <f aca="false">Prices!A36</f>
        <v>43677</v>
      </c>
      <c r="B35" s="14" t="n">
        <f aca="false">Prices!B36/Prices!B35-1</f>
        <v>0.0141252085376125</v>
      </c>
      <c r="C35" s="14" t="n">
        <f aca="false">Prices!C36/Prices!C35-1</f>
        <v>-0.0203786671765447</v>
      </c>
      <c r="D35" s="14" t="n">
        <f aca="false">Prices!D36/Prices!D35-1</f>
        <v>-0.0181051288067239</v>
      </c>
      <c r="E35" s="14" t="n">
        <f aca="false">Prices!E36/Prices!E35-1</f>
        <v>-0.0145363945865561</v>
      </c>
      <c r="F35" s="14" t="n">
        <f aca="false">Prices!F36/Prices!F35-1</f>
        <v>0.0694012564790105</v>
      </c>
      <c r="G35" s="14" t="n">
        <f aca="false">Prices!G36/Prices!G35-1</f>
        <v>0.0170480650114127</v>
      </c>
      <c r="H35" s="14" t="n">
        <f aca="false">Prices!H36/Prices!H35-1</f>
        <v>0.00149685043702408</v>
      </c>
      <c r="I35" s="14" t="n">
        <f aca="false">Prices!I36/Prices!I35-1</f>
        <v>0.00365621539361816</v>
      </c>
      <c r="J35" s="14" t="n">
        <f aca="false">Prices!J36/Prices!J35-1</f>
        <v>0.00148151851851863</v>
      </c>
      <c r="K35" s="14" t="n">
        <f aca="false">Prices!K36/Prices!K35-1</f>
        <v>0.00180401824452292</v>
      </c>
      <c r="L35" s="14" t="n">
        <f aca="false">Prices!L36/Prices!L35-1</f>
        <v>0.015119586335715</v>
      </c>
      <c r="M35" s="14" t="n">
        <f aca="false">Prices!M36/Prices!M35-1</f>
        <v>0.00181851445053582</v>
      </c>
      <c r="N35" s="14" t="n">
        <f aca="false">Prices!N36/Prices!N35-1</f>
        <v>-0.00128577695100329</v>
      </c>
      <c r="O35" s="19" t="n">
        <f aca="false">Prices!O35/100/12</f>
        <v>0.00176666666666667</v>
      </c>
    </row>
    <row r="36" customFormat="false" ht="15" hidden="false" customHeight="false" outlineLevel="0" collapsed="false">
      <c r="A36" s="17" t="n">
        <f aca="false">Prices!A37</f>
        <v>43708</v>
      </c>
      <c r="B36" s="14" t="n">
        <f aca="false">Prices!B37/Prices!B36-1</f>
        <v>-0.0208266161310857</v>
      </c>
      <c r="C36" s="14" t="n">
        <f aca="false">Prices!C37/Prices!C36-1</f>
        <v>-0.0188448570775691</v>
      </c>
      <c r="D36" s="14" t="n">
        <f aca="false">Prices!D37/Prices!D36-1</f>
        <v>-0.0325670139949049</v>
      </c>
      <c r="E36" s="14" t="n">
        <f aca="false">Prices!E37/Prices!E36-1</f>
        <v>-0.0688383421383422</v>
      </c>
      <c r="F36" s="14" t="n">
        <f aca="false">Prices!F37/Prices!F36-1</f>
        <v>-0.0376668097849719</v>
      </c>
      <c r="G36" s="14" t="n">
        <f aca="false">Prices!G37/Prices!G36-1</f>
        <v>0.0374622334062762</v>
      </c>
      <c r="H36" s="14" t="n">
        <f aca="false">Prices!H37/Prices!H36-1</f>
        <v>0.0276907755100424</v>
      </c>
      <c r="I36" s="14" t="n">
        <f aca="false">Prices!I37/Prices!I36-1</f>
        <v>0.0224279271112233</v>
      </c>
      <c r="J36" s="14" t="n">
        <f aca="false">Prices!J37/Prices!J36-1</f>
        <v>0.0769230740782887</v>
      </c>
      <c r="K36" s="14" t="n">
        <f aca="false">Prices!K37/Prices!K36-1</f>
        <v>0.001694999216447</v>
      </c>
      <c r="L36" s="14" t="n">
        <f aca="false">Prices!L37/Prices!L36-1</f>
        <v>-0.0167433418270545</v>
      </c>
      <c r="M36" s="14" t="n">
        <f aca="false">Prices!M37/Prices!M36-1</f>
        <v>0.0278280310792802</v>
      </c>
      <c r="N36" s="14" t="n">
        <f aca="false">Prices!N37/Prices!N36-1</f>
        <v>-0.000439429372426803</v>
      </c>
      <c r="O36" s="19" t="n">
        <f aca="false">Prices!O36/100/12</f>
        <v>0.00173333333333333</v>
      </c>
    </row>
    <row r="37" customFormat="false" ht="15" hidden="false" customHeight="false" outlineLevel="0" collapsed="false">
      <c r="A37" s="17" t="n">
        <f aca="false">Prices!A38</f>
        <v>43738</v>
      </c>
      <c r="B37" s="14" t="n">
        <f aca="false">Prices!B38/Prices!B37-1</f>
        <v>0.0177928308594839</v>
      </c>
      <c r="C37" s="14" t="n">
        <f aca="false">Prices!C38/Prices!C37-1</f>
        <v>0.0315233485961723</v>
      </c>
      <c r="D37" s="14" t="n">
        <f aca="false">Prices!D38/Prices!D37-1</f>
        <v>0.00910884298226433</v>
      </c>
      <c r="E37" s="14" t="n">
        <f aca="false">Prices!E38/Prices!E37-1</f>
        <v>0.00594030942472967</v>
      </c>
      <c r="F37" s="14" t="n">
        <f aca="false">Prices!F38/Prices!F37-1</f>
        <v>-0.027578245217377</v>
      </c>
      <c r="G37" s="14" t="n">
        <f aca="false">Prices!G38/Prices!G37-1</f>
        <v>0.0192706621951775</v>
      </c>
      <c r="H37" s="14" t="n">
        <f aca="false">Prices!H38/Prices!H37-1</f>
        <v>-0.00567630007349196</v>
      </c>
      <c r="I37" s="14" t="n">
        <f aca="false">Prices!I38/Prices!I37-1</f>
        <v>-0.010650009950456</v>
      </c>
      <c r="J37" s="14" t="n">
        <f aca="false">Prices!J38/Prices!J37-1</f>
        <v>-0.0315934055084681</v>
      </c>
      <c r="K37" s="14" t="n">
        <f aca="false">Prices!K38/Prices!K37-1</f>
        <v>0.00161854463414701</v>
      </c>
      <c r="L37" s="14" t="n">
        <f aca="false">Prices!L38/Prices!L37-1</f>
        <v>0.019457962600133</v>
      </c>
      <c r="M37" s="14" t="n">
        <f aca="false">Prices!M38/Prices!M37-1</f>
        <v>-0.00612165820491029</v>
      </c>
      <c r="N37" s="14" t="n">
        <f aca="false">Prices!N38/Prices!N37-1</f>
        <v>0.0118629808678383</v>
      </c>
      <c r="O37" s="19" t="n">
        <f aca="false">Prices!O37/100/12</f>
        <v>0.00165833333333333</v>
      </c>
    </row>
    <row r="38" customFormat="false" ht="15" hidden="false" customHeight="false" outlineLevel="0" collapsed="false">
      <c r="A38" s="17" t="n">
        <f aca="false">Prices!A39</f>
        <v>43769</v>
      </c>
      <c r="B38" s="14" t="n">
        <f aca="false">Prices!B39/Prices!B38-1</f>
        <v>0.0210596916534078</v>
      </c>
      <c r="C38" s="14" t="n">
        <f aca="false">Prices!C39/Prices!C38-1</f>
        <v>0.0321326880996637</v>
      </c>
      <c r="D38" s="14" t="n">
        <f aca="false">Prices!D39/Prices!D38-1</f>
        <v>0.0394935609625438</v>
      </c>
      <c r="E38" s="14" t="n">
        <f aca="false">Prices!E39/Prices!E38-1</f>
        <v>-0.0544618805495473</v>
      </c>
      <c r="F38" s="14" t="n">
        <f aca="false">Prices!F39/Prices!F38-1</f>
        <v>0.0233382677071397</v>
      </c>
      <c r="G38" s="14" t="n">
        <f aca="false">Prices!G39/Prices!G38-1</f>
        <v>0.0112601544427435</v>
      </c>
      <c r="H38" s="14" t="n">
        <f aca="false">Prices!H39/Prices!H38-1</f>
        <v>0.00310965493557913</v>
      </c>
      <c r="I38" s="14" t="n">
        <f aca="false">Prices!I39/Prices!I38-1</f>
        <v>-0.00059954963037101</v>
      </c>
      <c r="J38" s="14" t="n">
        <f aca="false">Prices!J39/Prices!J38-1</f>
        <v>0.0255318785272385</v>
      </c>
      <c r="K38" s="14" t="n">
        <f aca="false">Prices!K39/Prices!K38-1</f>
        <v>0.00160729137419291</v>
      </c>
      <c r="L38" s="14" t="n">
        <f aca="false">Prices!L39/Prices!L38-1</f>
        <v>0.022104336947055</v>
      </c>
      <c r="M38" s="14" t="n">
        <f aca="false">Prices!M39/Prices!M38-1</f>
        <v>0.00208111917408038</v>
      </c>
      <c r="N38" s="14" t="n">
        <f aca="false">Prices!N39/Prices!N38-1</f>
        <v>0.0154651837658175</v>
      </c>
      <c r="O38" s="19" t="n">
        <f aca="false">Prices!O38/100/12</f>
        <v>0.00156666666666667</v>
      </c>
    </row>
    <row r="39" customFormat="false" ht="15" hidden="false" customHeight="false" outlineLevel="0" collapsed="false">
      <c r="A39" s="17" t="n">
        <f aca="false">Prices!A40</f>
        <v>43799</v>
      </c>
      <c r="B39" s="14" t="n">
        <f aca="false">Prices!B40/Prices!B39-1</f>
        <v>0.0378781763486142</v>
      </c>
      <c r="C39" s="14" t="n">
        <f aca="false">Prices!C40/Prices!C39-1</f>
        <v>0.0134427977165636</v>
      </c>
      <c r="D39" s="14" t="n">
        <f aca="false">Prices!D40/Prices!D39-1</f>
        <v>0.00501795547769102</v>
      </c>
      <c r="E39" s="14" t="n">
        <f aca="false">Prices!E40/Prices!E39-1</f>
        <v>0.0183901672749529</v>
      </c>
      <c r="F39" s="14" t="n">
        <f aca="false">Prices!F40/Prices!F39-1</f>
        <v>-0.0307448954917463</v>
      </c>
      <c r="G39" s="14" t="n">
        <f aca="false">Prices!G40/Prices!G39-1</f>
        <v>-0.0130437822615666</v>
      </c>
      <c r="H39" s="14" t="n">
        <f aca="false">Prices!H40/Prices!H39-1</f>
        <v>-0.000414832912528196</v>
      </c>
      <c r="I39" s="14" t="n">
        <f aca="false">Prices!I40/Prices!I39-1</f>
        <v>0.00242307836207289</v>
      </c>
      <c r="J39" s="14" t="n">
        <f aca="false">Prices!J40/Prices!J39-1</f>
        <v>-0.0331950553250346</v>
      </c>
      <c r="K39" s="14" t="n">
        <f aca="false">Prices!K40/Prices!K39-1</f>
        <v>0.00108236437822407</v>
      </c>
      <c r="L39" s="14" t="n">
        <f aca="false">Prices!L40/Prices!L39-1</f>
        <v>0.0361984303119043</v>
      </c>
      <c r="M39" s="14" t="n">
        <f aca="false">Prices!M40/Prices!M39-1</f>
        <v>-0.000345566088957749</v>
      </c>
      <c r="N39" s="14" t="n">
        <f aca="false">Prices!N40/Prices!N39-1</f>
        <v>0.0141725957082786</v>
      </c>
      <c r="O39" s="19" t="n">
        <f aca="false">Prices!O39/100/12</f>
        <v>0.00128333333333333</v>
      </c>
    </row>
    <row r="40" customFormat="false" ht="15" hidden="false" customHeight="false" outlineLevel="0" collapsed="false">
      <c r="A40" s="17" t="n">
        <f aca="false">Prices!A41</f>
        <v>43830</v>
      </c>
      <c r="B40" s="14" t="n">
        <f aca="false">Prices!B41/Prices!B40-1</f>
        <v>0.0280415180009226</v>
      </c>
      <c r="C40" s="14" t="n">
        <f aca="false">Prices!C41/Prices!C40-1</f>
        <v>0.0356673617507257</v>
      </c>
      <c r="D40" s="14" t="n">
        <f aca="false">Prices!D41/Prices!D40-1</f>
        <v>0.070688867535442</v>
      </c>
      <c r="E40" s="14" t="n">
        <f aca="false">Prices!E41/Prices!E40-1</f>
        <v>0.0663203299125368</v>
      </c>
      <c r="F40" s="14" t="n">
        <f aca="false">Prices!F41/Prices!F40-1</f>
        <v>0</v>
      </c>
      <c r="G40" s="14" t="n">
        <f aca="false">Prices!G41/Prices!G40-1</f>
        <v>0.00769036266951839</v>
      </c>
      <c r="H40" s="14" t="n">
        <f aca="false">Prices!H41/Prices!H40-1</f>
        <v>-0.000746622366643135</v>
      </c>
      <c r="I40" s="14" t="n">
        <f aca="false">Prices!I41/Prices!I40-1</f>
        <v>0.00515013292470123</v>
      </c>
      <c r="J40" s="14" t="n">
        <f aca="false">Prices!J41/Prices!J40-1</f>
        <v>0.0371960313732487</v>
      </c>
      <c r="K40" s="14" t="n">
        <f aca="false">Prices!K41/Prices!K40-1</f>
        <v>0.00111609978777261</v>
      </c>
      <c r="L40" s="14" t="n">
        <f aca="false">Prices!L41/Prices!L40-1</f>
        <v>0.0290558525535714</v>
      </c>
      <c r="M40" s="14" t="n">
        <f aca="false">Prices!M41/Prices!M40-1</f>
        <v>-0.000467409635731109</v>
      </c>
      <c r="N40" s="14" t="n">
        <f aca="false">Prices!N41/Prices!N40-1</f>
        <v>0.0214702598730914</v>
      </c>
      <c r="O40" s="19" t="n">
        <f aca="false">Prices!O40/100/12</f>
        <v>0.001325</v>
      </c>
    </row>
    <row r="41" customFormat="false" ht="15" hidden="false" customHeight="false" outlineLevel="0" collapsed="false">
      <c r="A41" s="17" t="n">
        <f aca="false">Prices!A42</f>
        <v>43861</v>
      </c>
      <c r="B41" s="14" t="n">
        <f aca="false">Prices!B42/Prices!B41-1</f>
        <v>-0.000611200605537654</v>
      </c>
      <c r="C41" s="14" t="n">
        <f aca="false">Prices!C42/Prices!C41-1</f>
        <v>-0.0299589036947212</v>
      </c>
      <c r="D41" s="14" t="n">
        <f aca="false">Prices!D42/Prices!D41-1</f>
        <v>-0.0553183533453538</v>
      </c>
      <c r="E41" s="14" t="n">
        <f aca="false">Prices!E42/Prices!E41-1</f>
        <v>-0.0339586004204912</v>
      </c>
      <c r="F41" s="14" t="n">
        <f aca="false">Prices!F42/Prices!F41-1</f>
        <v>-0.0165302058981187</v>
      </c>
      <c r="G41" s="14" t="n">
        <f aca="false">Prices!G42/Prices!G41-1</f>
        <v>0.0122856717916375</v>
      </c>
      <c r="H41" s="14" t="n">
        <f aca="false">Prices!H42/Prices!H41-1</f>
        <v>0.0197951593763839</v>
      </c>
      <c r="I41" s="14" t="n">
        <f aca="false">Prices!I42/Prices!I41-1</f>
        <v>0.0211902738574417</v>
      </c>
      <c r="J41" s="14" t="n">
        <f aca="false">Prices!J42/Prices!J41-1</f>
        <v>0.0462068965517242</v>
      </c>
      <c r="K41" s="14" t="n">
        <f aca="false">Prices!K42/Prices!K41-1</f>
        <v>0.00120246902243126</v>
      </c>
      <c r="L41" s="14" t="n">
        <f aca="false">Prices!L42/Prices!L41-1</f>
        <v>-0.000404182443265455</v>
      </c>
      <c r="M41" s="14" t="n">
        <f aca="false">Prices!M42/Prices!M41-1</f>
        <v>0.020290053880595</v>
      </c>
      <c r="N41" s="14" t="n">
        <f aca="false">Prices!N42/Prices!N41-1</f>
        <v>-0.00418051704760902</v>
      </c>
      <c r="O41" s="19" t="n">
        <f aca="false">Prices!O41/100/12</f>
        <v>0.00129166666666667</v>
      </c>
    </row>
    <row r="42" customFormat="false" ht="15" hidden="false" customHeight="false" outlineLevel="0" collapsed="false">
      <c r="A42" s="17" t="n">
        <f aca="false">Prices!A43</f>
        <v>43890</v>
      </c>
      <c r="B42" s="14" t="n">
        <f aca="false">Prices!B43/Prices!B42-1</f>
        <v>-0.0799904624302046</v>
      </c>
      <c r="C42" s="14" t="n">
        <f aca="false">Prices!C43/Prices!C42-1</f>
        <v>-0.0765091116812144</v>
      </c>
      <c r="D42" s="14" t="n">
        <f aca="false">Prices!D43/Prices!D42-1</f>
        <v>-0.0354674835330442</v>
      </c>
      <c r="E42" s="14" t="n">
        <f aca="false">Prices!E43/Prices!E42-1</f>
        <v>-0.0944091506786063</v>
      </c>
      <c r="F42" s="14" t="n">
        <f aca="false">Prices!F43/Prices!F42-1</f>
        <v>-0.0778316772943332</v>
      </c>
      <c r="G42" s="14" t="n">
        <f aca="false">Prices!G43/Prices!G42-1</f>
        <v>-0.0702653131870671</v>
      </c>
      <c r="H42" s="14" t="n">
        <f aca="false">Prices!H43/Prices!H42-1</f>
        <v>0.0166747509727045</v>
      </c>
      <c r="I42" s="14" t="n">
        <f aca="false">Prices!I43/Prices!I42-1</f>
        <v>0.00933763306810564</v>
      </c>
      <c r="J42" s="14" t="n">
        <f aca="false">Prices!J43/Prices!J42-1</f>
        <v>-0.00659199077125905</v>
      </c>
      <c r="K42" s="14" t="n">
        <f aca="false">Prices!K43/Prices!K42-1</f>
        <v>0.00118140795721922</v>
      </c>
      <c r="L42" s="14" t="n">
        <f aca="false">Prices!L43/Prices!L42-1</f>
        <v>-0.07916570955023</v>
      </c>
      <c r="M42" s="14" t="n">
        <f aca="false">Prices!M43/Prices!M42-1</f>
        <v>0.0158469808152668</v>
      </c>
      <c r="N42" s="14" t="n">
        <f aca="false">Prices!N43/Prices!N42-1</f>
        <v>-0.0407225665182598</v>
      </c>
      <c r="O42" s="19" t="n">
        <f aca="false">Prices!O42/100/12</f>
        <v>0.00129166666666667</v>
      </c>
    </row>
    <row r="43" customFormat="false" ht="15" hidden="false" customHeight="false" outlineLevel="0" collapsed="false">
      <c r="A43" s="17" t="n">
        <f aca="false">Prices!A44</f>
        <v>43921</v>
      </c>
      <c r="B43" s="14" t="n">
        <f aca="false">Prices!B44/Prices!B43-1</f>
        <v>-0.138857194770927</v>
      </c>
      <c r="C43" s="14" t="n">
        <f aca="false">Prices!C44/Prices!C43-1</f>
        <v>-0.151528659685127</v>
      </c>
      <c r="D43" s="14" t="n">
        <f aca="false">Prices!D44/Prices!D43-1</f>
        <v>-0.170467876208915</v>
      </c>
      <c r="E43" s="14" t="n">
        <f aca="false">Prices!E44/Prices!E43-1</f>
        <v>-0.115341871123662</v>
      </c>
      <c r="F43" s="14" t="n">
        <f aca="false">Prices!F44/Prices!F43-1</f>
        <v>-0.231526882566874</v>
      </c>
      <c r="G43" s="14" t="n">
        <f aca="false">Prices!G44/Prices!G43-1</f>
        <v>-0.193917871699891</v>
      </c>
      <c r="H43" s="14" t="n">
        <f aca="false">Prices!H44/Prices!H43-1</f>
        <v>-0.0142856651977397</v>
      </c>
      <c r="I43" s="14" t="n">
        <f aca="false">Prices!I44/Prices!I43-1</f>
        <v>-0.0147337793243978</v>
      </c>
      <c r="J43" s="14" t="n">
        <f aca="false">Prices!J44/Prices!J43-1</f>
        <v>0</v>
      </c>
      <c r="K43" s="14" t="n">
        <f aca="false">Prices!K44/Prices!K43-1</f>
        <v>0.00204492925617905</v>
      </c>
      <c r="L43" s="14" t="n">
        <f aca="false">Prices!L44/Prices!L43-1</f>
        <v>-0.12487136282585</v>
      </c>
      <c r="M43" s="14" t="n">
        <f aca="false">Prices!M44/Prices!M43-1</f>
        <v>-0.00526790438528602</v>
      </c>
      <c r="N43" s="14" t="n">
        <f aca="false">Prices!N44/Prices!N43-1</f>
        <v>-0.0945292829642125</v>
      </c>
      <c r="O43" s="19" t="n">
        <f aca="false">Prices!O43/100/12</f>
        <v>0.00105833333333333</v>
      </c>
    </row>
    <row r="44" customFormat="false" ht="15" hidden="false" customHeight="false" outlineLevel="0" collapsed="false">
      <c r="A44" s="17" t="n">
        <f aca="false">Prices!A45</f>
        <v>43951</v>
      </c>
      <c r="B44" s="14" t="n">
        <f aca="false">Prices!B45/Prices!B44-1</f>
        <v>0.13133218340047</v>
      </c>
      <c r="C44" s="14" t="n">
        <f aca="false">Prices!C45/Prices!C44-1</f>
        <v>0.0701858464937786</v>
      </c>
      <c r="D44" s="14" t="n">
        <f aca="false">Prices!D45/Prices!D44-1</f>
        <v>0.078092319972155</v>
      </c>
      <c r="E44" s="14" t="n">
        <f aca="false">Prices!E45/Prices!E44-1</f>
        <v>0.0685332511234564</v>
      </c>
      <c r="F44" s="14" t="n">
        <f aca="false">Prices!F45/Prices!F44-1</f>
        <v>0.117521152873709</v>
      </c>
      <c r="G44" s="14" t="n">
        <f aca="false">Prices!G45/Prices!G44-1</f>
        <v>0.0896204414711717</v>
      </c>
      <c r="H44" s="14" t="n">
        <f aca="false">Prices!H45/Prices!H44-1</f>
        <v>0.0275946669843334</v>
      </c>
      <c r="I44" s="14" t="n">
        <f aca="false">Prices!I45/Prices!I44-1</f>
        <v>0.0271258487664443</v>
      </c>
      <c r="J44" s="14" t="n">
        <f aca="false">Prices!J45/Prices!J44-1</f>
        <v>0.0690113493368068</v>
      </c>
      <c r="K44" s="14" t="n">
        <f aca="false">Prices!K45/Prices!K44-1</f>
        <v>-0.000196073615067682</v>
      </c>
      <c r="L44" s="14" t="n">
        <f aca="false">Prices!L45/Prices!L44-1</f>
        <v>0.126983890242512</v>
      </c>
      <c r="M44" s="14" t="n">
        <f aca="false">Prices!M45/Prices!M44-1</f>
        <v>0.0171903275507803</v>
      </c>
      <c r="N44" s="14" t="n">
        <f aca="false">Prices!N45/Prices!N44-1</f>
        <v>0.0655568034543106</v>
      </c>
      <c r="O44" s="19" t="n">
        <f aca="false">Prices!O44/100/12</f>
        <v>9.16666666666667E-005</v>
      </c>
    </row>
    <row r="45" customFormat="false" ht="15" hidden="false" customHeight="false" outlineLevel="0" collapsed="false">
      <c r="A45" s="17" t="n">
        <f aca="false">Prices!A46</f>
        <v>43982</v>
      </c>
      <c r="B45" s="14" t="n">
        <f aca="false">Prices!B46/Prices!B45-1</f>
        <v>0.0539632274839867</v>
      </c>
      <c r="C45" s="14" t="n">
        <f aca="false">Prices!C46/Prices!C45-1</f>
        <v>0.0557735293460018</v>
      </c>
      <c r="D45" s="14" t="n">
        <f aca="false">Prices!D46/Prices!D45-1</f>
        <v>0.0329002104503975</v>
      </c>
      <c r="E45" s="14" t="n">
        <f aca="false">Prices!E46/Prices!E45-1</f>
        <v>0.0453656664687665</v>
      </c>
      <c r="F45" s="14" t="n">
        <f aca="false">Prices!F46/Prices!F45-1</f>
        <v>-0.0133843914264741</v>
      </c>
      <c r="G45" s="14" t="n">
        <f aca="false">Prices!G46/Prices!G45-1</f>
        <v>0.0173434166902196</v>
      </c>
      <c r="H45" s="14" t="n">
        <f aca="false">Prices!H46/Prices!H45-1</f>
        <v>0.00668702744818961</v>
      </c>
      <c r="I45" s="14" t="n">
        <f aca="false">Prices!I46/Prices!I45-1</f>
        <v>0.00490912522732256</v>
      </c>
      <c r="J45" s="14" t="n">
        <f aca="false">Prices!J46/Prices!J45-1</f>
        <v>0.0260707626917824</v>
      </c>
      <c r="K45" s="14" t="n">
        <f aca="false">Prices!K46/Prices!K45-1</f>
        <v>-0.000175063150348986</v>
      </c>
      <c r="L45" s="14" t="n">
        <f aca="false">Prices!L46/Prices!L45-1</f>
        <v>0.0476450164687028</v>
      </c>
      <c r="M45" s="14" t="n">
        <f aca="false">Prices!M46/Prices!M45-1</f>
        <v>0.00672563199211163</v>
      </c>
      <c r="N45" s="14" t="n">
        <f aca="false">Prices!N46/Prices!N45-1</f>
        <v>0.0346320861841376</v>
      </c>
      <c r="O45" s="19" t="n">
        <f aca="false">Prices!O45/100/12</f>
        <v>7.5E-005</v>
      </c>
    </row>
    <row r="46" customFormat="false" ht="15" hidden="false" customHeight="false" outlineLevel="0" collapsed="false">
      <c r="A46" s="17" t="n">
        <f aca="false">Prices!A47</f>
        <v>44012</v>
      </c>
      <c r="B46" s="14" t="n">
        <f aca="false">Prices!B47/Prices!B46-1</f>
        <v>0.0229814359279517</v>
      </c>
      <c r="C46" s="14" t="n">
        <f aca="false">Prices!C47/Prices!C46-1</f>
        <v>0.0349783836437869</v>
      </c>
      <c r="D46" s="14" t="n">
        <f aca="false">Prices!D47/Prices!D46-1</f>
        <v>0.0647718287323476</v>
      </c>
      <c r="E46" s="14" t="n">
        <f aca="false">Prices!E47/Prices!E46-1</f>
        <v>0.00160355823604896</v>
      </c>
      <c r="F46" s="14" t="n">
        <f aca="false">Prices!F47/Prices!F46-1</f>
        <v>0.0245851971412359</v>
      </c>
      <c r="G46" s="14" t="n">
        <f aca="false">Prices!G47/Prices!G46-1</f>
        <v>0.0242488257902938</v>
      </c>
      <c r="H46" s="14" t="n">
        <f aca="false">Prices!H47/Prices!H46-1</f>
        <v>0.0067123341469697</v>
      </c>
      <c r="I46" s="14" t="n">
        <f aca="false">Prices!I47/Prices!I46-1</f>
        <v>0.01111881156449</v>
      </c>
      <c r="J46" s="14" t="n">
        <f aca="false">Prices!J47/Prices!J46-1</f>
        <v>0.027828160077793</v>
      </c>
      <c r="K46" s="14" t="n">
        <f aca="false">Prices!K47/Prices!K46-1</f>
        <v>0</v>
      </c>
      <c r="L46" s="14" t="n">
        <f aca="false">Prices!L47/Prices!L46-1</f>
        <v>0.0177347929340765</v>
      </c>
      <c r="M46" s="14" t="n">
        <f aca="false">Prices!M47/Prices!M46-1</f>
        <v>0.00659081141068452</v>
      </c>
      <c r="N46" s="14" t="n">
        <f aca="false">Prices!N47/Prices!N46-1</f>
        <v>0.0215812081730991</v>
      </c>
      <c r="O46" s="19" t="n">
        <f aca="false">Prices!O46/100/12</f>
        <v>0.000116666666666667</v>
      </c>
    </row>
    <row r="47" customFormat="false" ht="15" hidden="false" customHeight="false" outlineLevel="0" collapsed="false">
      <c r="A47" s="17" t="n">
        <f aca="false">Prices!A48</f>
        <v>44043</v>
      </c>
      <c r="B47" s="14" t="n">
        <f aca="false">Prices!B48/Prices!B47-1</f>
        <v>0.0574335142876774</v>
      </c>
      <c r="C47" s="14" t="n">
        <f aca="false">Prices!C48/Prices!C47-1</f>
        <v>0.0262955179424051</v>
      </c>
      <c r="D47" s="14" t="n">
        <f aca="false">Prices!D48/Prices!D47-1</f>
        <v>0.0858369424319676</v>
      </c>
      <c r="E47" s="14" t="n">
        <f aca="false">Prices!E48/Prices!E47-1</f>
        <v>0.020136929827969</v>
      </c>
      <c r="F47" s="14" t="n">
        <f aca="false">Prices!F48/Prices!F47-1</f>
        <v>0.0349300704730919</v>
      </c>
      <c r="G47" s="14" t="n">
        <f aca="false">Prices!G48/Prices!G47-1</f>
        <v>0.0364192941795263</v>
      </c>
      <c r="H47" s="14" t="n">
        <f aca="false">Prices!H48/Prices!H47-1</f>
        <v>0.0145388108999005</v>
      </c>
      <c r="I47" s="14" t="n">
        <f aca="false">Prices!I48/Prices!I47-1</f>
        <v>0.0224923988348424</v>
      </c>
      <c r="J47" s="14" t="n">
        <f aca="false">Prices!J48/Prices!J47-1</f>
        <v>0.110064773396116</v>
      </c>
      <c r="K47" s="14" t="n">
        <f aca="false">Prices!K48/Prices!K47-1</f>
        <v>0.000109109790892958</v>
      </c>
      <c r="L47" s="14" t="n">
        <f aca="false">Prices!L48/Prices!L47-1</f>
        <v>0.0588916405456572</v>
      </c>
      <c r="M47" s="14" t="n">
        <f aca="false">Prices!M48/Prices!M47-1</f>
        <v>0.0133320595860793</v>
      </c>
      <c r="N47" s="14" t="n">
        <f aca="false">Prices!N48/Prices!N47-1</f>
        <v>0.0352283185170683</v>
      </c>
      <c r="O47" s="19" t="n">
        <f aca="false">Prices!O47/100/12</f>
        <v>0.000133333333333333</v>
      </c>
    </row>
    <row r="48" customFormat="false" ht="15" hidden="false" customHeight="false" outlineLevel="0" collapsed="false">
      <c r="A48" s="17" t="n">
        <f aca="false">Prices!A49</f>
        <v>44074</v>
      </c>
      <c r="B48" s="14" t="n">
        <f aca="false">Prices!B49/Prices!B48-1</f>
        <v>0.071048672253317</v>
      </c>
      <c r="C48" s="14" t="n">
        <f aca="false">Prices!C49/Prices!C48-1</f>
        <v>0.0517456391684636</v>
      </c>
      <c r="D48" s="14" t="n">
        <f aca="false">Prices!D49/Prices!D48-1</f>
        <v>0.0274353533074614</v>
      </c>
      <c r="E48" s="14" t="n">
        <f aca="false">Prices!E49/Prices!E48-1</f>
        <v>0.0752325673242191</v>
      </c>
      <c r="F48" s="14" t="n">
        <f aca="false">Prices!F49/Prices!F48-1</f>
        <v>0.0376085972327729</v>
      </c>
      <c r="G48" s="14" t="n">
        <f aca="false">Prices!G49/Prices!G48-1</f>
        <v>0.00442335220759671</v>
      </c>
      <c r="H48" s="14" t="n">
        <f aca="false">Prices!H49/Prices!H48-1</f>
        <v>-0.00941815490327813</v>
      </c>
      <c r="I48" s="14" t="n">
        <f aca="false">Prices!I49/Prices!I48-1</f>
        <v>0.00912507195391576</v>
      </c>
      <c r="J48" s="14" t="n">
        <f aca="false">Prices!J49/Prices!J48-1</f>
        <v>-0.00477200411527046</v>
      </c>
      <c r="K48" s="14" t="n">
        <f aca="false">Prices!K49/Prices!K48-1</f>
        <v>0</v>
      </c>
      <c r="L48" s="14" t="n">
        <f aca="false">Prices!L49/Prices!L48-1</f>
        <v>0.0697969423204146</v>
      </c>
      <c r="M48" s="14" t="n">
        <f aca="false">Prices!M49/Prices!M48-1</f>
        <v>-0.00823572812725293</v>
      </c>
      <c r="N48" s="14" t="n">
        <f aca="false">Prices!N49/Prices!N48-1</f>
        <v>0.0345837454502678</v>
      </c>
      <c r="O48" s="19" t="n">
        <f aca="false">Prices!O48/100/12</f>
        <v>7.5E-005</v>
      </c>
    </row>
    <row r="49" customFormat="false" ht="15" hidden="false" customHeight="false" outlineLevel="0" collapsed="false">
      <c r="A49" s="17" t="n">
        <f aca="false">Prices!A50</f>
        <v>44104</v>
      </c>
      <c r="B49" s="14" t="n">
        <f aca="false">Prices!B50/Prices!B49-1</f>
        <v>-0.0353757585330367</v>
      </c>
      <c r="C49" s="14" t="n">
        <f aca="false">Prices!C50/Prices!C49-1</f>
        <v>-0.017997057438656</v>
      </c>
      <c r="D49" s="14" t="n">
        <f aca="false">Prices!D50/Prices!D49-1</f>
        <v>-0.0119579838482904</v>
      </c>
      <c r="E49" s="14" t="n">
        <f aca="false">Prices!E50/Prices!E49-1</f>
        <v>0.0287496803005431</v>
      </c>
      <c r="F49" s="14" t="n">
        <f aca="false">Prices!F50/Prices!F49-1</f>
        <v>-0.000929206197584964</v>
      </c>
      <c r="G49" s="14" t="n">
        <f aca="false">Prices!G50/Prices!G49-1</f>
        <v>-0.0266431670222276</v>
      </c>
      <c r="H49" s="14" t="n">
        <f aca="false">Prices!H50/Prices!H49-1</f>
        <v>-0.000984776481740446</v>
      </c>
      <c r="I49" s="14" t="n">
        <f aca="false">Prices!I50/Prices!I49-1</f>
        <v>-0.00313782350827296</v>
      </c>
      <c r="J49" s="14" t="n">
        <f aca="false">Prices!J50/Prices!J49-1</f>
        <v>-0.0415556994790703</v>
      </c>
      <c r="K49" s="14" t="n">
        <f aca="false">Prices!K50/Prices!K49-1</f>
        <v>-0.000218104194539714</v>
      </c>
      <c r="L49" s="14" t="n">
        <f aca="false">Prices!L50/Prices!L49-1</f>
        <v>-0.0374437168742168</v>
      </c>
      <c r="M49" s="14" t="n">
        <f aca="false">Prices!M50/Prices!M49-1</f>
        <v>-0.000973619457362518</v>
      </c>
      <c r="N49" s="14" t="n">
        <f aca="false">Prices!N50/Prices!N49-1</f>
        <v>-0.0186384696849197</v>
      </c>
      <c r="O49" s="19" t="n">
        <f aca="false">Prices!O49/100/12</f>
        <v>9.16666666666667E-005</v>
      </c>
    </row>
    <row r="50" customFormat="false" ht="15" hidden="false" customHeight="false" outlineLevel="0" collapsed="false">
      <c r="A50" s="17" t="n">
        <f aca="false">Prices!A51</f>
        <v>44135</v>
      </c>
      <c r="B50" s="14" t="n">
        <f aca="false">Prices!B51/Prices!B50-1</f>
        <v>-0.0194941521161273</v>
      </c>
      <c r="C50" s="14" t="n">
        <f aca="false">Prices!C51/Prices!C50-1</f>
        <v>-0.0354524122388481</v>
      </c>
      <c r="D50" s="14" t="n">
        <f aca="false">Prices!D51/Prices!D50-1</f>
        <v>0.0131821864071142</v>
      </c>
      <c r="E50" s="14" t="n">
        <f aca="false">Prices!E51/Prices!E50-1</f>
        <v>-0.0464647506261822</v>
      </c>
      <c r="F50" s="14" t="n">
        <f aca="false">Prices!F51/Prices!F50-1</f>
        <v>-0.0237209401147651</v>
      </c>
      <c r="G50" s="14" t="n">
        <f aca="false">Prices!G51/Prices!G50-1</f>
        <v>-0.03001507209523</v>
      </c>
      <c r="H50" s="14" t="n">
        <f aca="false">Prices!H51/Prices!H50-1</f>
        <v>-0.00556401250735206</v>
      </c>
      <c r="I50" s="14" t="n">
        <f aca="false">Prices!I51/Prices!I50-1</f>
        <v>-0.00654144573365545</v>
      </c>
      <c r="J50" s="14" t="n">
        <f aca="false">Prices!J51/Prices!J50-1</f>
        <v>-0.0055586714841579</v>
      </c>
      <c r="K50" s="14" t="n">
        <f aca="false">Prices!K51/Prices!K50-1</f>
        <v>0.000109030087213746</v>
      </c>
      <c r="L50" s="14" t="n">
        <f aca="false">Prices!L51/Prices!L50-1</f>
        <v>-0.0249337698332301</v>
      </c>
      <c r="M50" s="14" t="n">
        <f aca="false">Prices!M51/Prices!M50-1</f>
        <v>-0.00558294331595211</v>
      </c>
      <c r="N50" s="14" t="n">
        <f aca="false">Prices!N51/Prices!N50-1</f>
        <v>-0.0161283671969311</v>
      </c>
      <c r="O50" s="19" t="n">
        <f aca="false">Prices!O50/100/12</f>
        <v>8.33333333333333E-005</v>
      </c>
    </row>
    <row r="51" customFormat="false" ht="15" hidden="false" customHeight="false" outlineLevel="0" collapsed="false">
      <c r="A51" s="17" t="n">
        <f aca="false">Prices!A52</f>
        <v>44165</v>
      </c>
      <c r="B51" s="14" t="n">
        <f aca="false">Prices!B52/Prices!B51-1</f>
        <v>0.118031272963068</v>
      </c>
      <c r="C51" s="14" t="n">
        <f aca="false">Prices!C52/Prices!C51-1</f>
        <v>0.142965722000968</v>
      </c>
      <c r="D51" s="14" t="n">
        <f aca="false">Prices!D52/Prices!D51-1</f>
        <v>0.0855966889519977</v>
      </c>
      <c r="E51" s="14" t="n">
        <f aca="false">Prices!E52/Prices!E51-1</f>
        <v>0.103460382925442</v>
      </c>
      <c r="F51" s="14" t="n">
        <f aca="false">Prices!F52/Prices!F51-1</f>
        <v>0.120533446596509</v>
      </c>
      <c r="G51" s="14" t="n">
        <f aca="false">Prices!G52/Prices!G51-1</f>
        <v>0.0967488333939461</v>
      </c>
      <c r="H51" s="14" t="n">
        <f aca="false">Prices!H52/Prices!H51-1</f>
        <v>0.0121356753562627</v>
      </c>
      <c r="I51" s="14" t="n">
        <f aca="false">Prices!I52/Prices!I51-1</f>
        <v>0.0109550040386655</v>
      </c>
      <c r="J51" s="14" t="n">
        <f aca="false">Prices!J52/Prices!J51-1</f>
        <v>-0.0525432379134498</v>
      </c>
      <c r="K51" s="14" t="n">
        <f aca="false">Prices!K52/Prices!K51-1</f>
        <v>-0.000109018200949773</v>
      </c>
      <c r="L51" s="14" t="n">
        <f aca="false">Prices!L52/Prices!L51-1</f>
        <v>0.108777129328393</v>
      </c>
      <c r="M51" s="14" t="n">
        <f aca="false">Prices!M52/Prices!M51-1</f>
        <v>0.0120676459693299</v>
      </c>
      <c r="N51" s="14" t="n">
        <f aca="false">Prices!N52/Prices!N51-1</f>
        <v>0.0753683104656988</v>
      </c>
      <c r="O51" s="19" t="n">
        <f aca="false">Prices!O51/100/12</f>
        <v>7.5E-005</v>
      </c>
    </row>
    <row r="52" customFormat="false" ht="15" hidden="false" customHeight="false" outlineLevel="0" collapsed="false">
      <c r="A52" s="17" t="n">
        <f aca="false">Prices!A53</f>
        <v>44196</v>
      </c>
      <c r="B52" s="14" t="n">
        <f aca="false">Prices!B53/Prices!B52-1</f>
        <v>0.0467635061445857</v>
      </c>
      <c r="C52" s="14" t="n">
        <f aca="false">Prices!C53/Prices!C52-1</f>
        <v>0.0563003580046744</v>
      </c>
      <c r="D52" s="14" t="n">
        <f aca="false">Prices!D53/Prices!D52-1</f>
        <v>0.0599937131037809</v>
      </c>
      <c r="E52" s="14" t="n">
        <f aca="false">Prices!E53/Prices!E52-1</f>
        <v>-0.00147236216822844</v>
      </c>
      <c r="F52" s="14" t="n">
        <f aca="false">Prices!F53/Prices!F52-1</f>
        <v>0.00405983507960439</v>
      </c>
      <c r="G52" s="14" t="n">
        <f aca="false">Prices!G53/Prices!G52-1</f>
        <v>0.0273403922285247</v>
      </c>
      <c r="H52" s="14" t="n">
        <f aca="false">Prices!H53/Prices!H52-1</f>
        <v>0.00152537803747888</v>
      </c>
      <c r="I52" s="14" t="n">
        <f aca="false">Prices!I53/Prices!I52-1</f>
        <v>0.0125444944980062</v>
      </c>
      <c r="J52" s="14" t="n">
        <f aca="false">Prices!J53/Prices!J52-1</f>
        <v>0.069616397072779</v>
      </c>
      <c r="K52" s="14" t="n">
        <f aca="false">Prices!K53/Prices!K52-1</f>
        <v>3.27535175581595E-005</v>
      </c>
      <c r="L52" s="14" t="n">
        <f aca="false">Prices!L53/Prices!L52-1</f>
        <v>0.037048429921021</v>
      </c>
      <c r="M52" s="14" t="n">
        <f aca="false">Prices!M53/Prices!M52-1</f>
        <v>0.000857417715800501</v>
      </c>
      <c r="N52" s="14" t="n">
        <f aca="false">Prices!N53/Prices!N52-1</f>
        <v>0.0285300991957764</v>
      </c>
      <c r="O52" s="19" t="n">
        <f aca="false">Prices!O52/100/12</f>
        <v>6.66666666666667E-005</v>
      </c>
    </row>
    <row r="53" customFormat="false" ht="15" hidden="false" customHeight="false" outlineLevel="0" collapsed="false">
      <c r="A53" s="17" t="n">
        <f aca="false">Prices!A54</f>
        <v>44227</v>
      </c>
      <c r="B53" s="14" t="n">
        <f aca="false">Prices!B54/Prices!B53-1</f>
        <v>-0.00333960978977754</v>
      </c>
      <c r="C53" s="14" t="n">
        <f aca="false">Prices!C54/Prices!C53-1</f>
        <v>-0.00720184124080414</v>
      </c>
      <c r="D53" s="14" t="n">
        <f aca="false">Prices!D54/Prices!D53-1</f>
        <v>0.0313314418103134</v>
      </c>
      <c r="E53" s="14" t="n">
        <f aca="false">Prices!E54/Prices!E53-1</f>
        <v>0.0012856503882559</v>
      </c>
      <c r="F53" s="14" t="n">
        <f aca="false">Prices!F54/Prices!F53-1</f>
        <v>0.10050858402945</v>
      </c>
      <c r="G53" s="14" t="n">
        <f aca="false">Prices!G54/Prices!G53-1</f>
        <v>0.000353403092888893</v>
      </c>
      <c r="H53" s="14" t="n">
        <f aca="false">Prices!H54/Prices!H53-1</f>
        <v>-0.00861789051220419</v>
      </c>
      <c r="I53" s="14" t="n">
        <f aca="false">Prices!I54/Prices!I53-1</f>
        <v>0.00289927944916935</v>
      </c>
      <c r="J53" s="14" t="n">
        <f aca="false">Prices!J54/Prices!J53-1</f>
        <v>-0.0319911766128614</v>
      </c>
      <c r="K53" s="14" t="n">
        <f aca="false">Prices!K54/Prices!K53-1</f>
        <v>0</v>
      </c>
      <c r="L53" s="14" t="n">
        <f aca="false">Prices!L54/Prices!L53-1</f>
        <v>-0.0101902903121185</v>
      </c>
      <c r="M53" s="14" t="n">
        <f aca="false">Prices!M54/Prices!M53-1</f>
        <v>-0.00744584327816977</v>
      </c>
      <c r="N53" s="14" t="n">
        <f aca="false">Prices!N54/Prices!N53-1</f>
        <v>-0.00287344162887726</v>
      </c>
      <c r="O53" s="19" t="n">
        <f aca="false">Prices!O53/100/12</f>
        <v>7.5E-005</v>
      </c>
    </row>
    <row r="54" customFormat="false" ht="15" hidden="false" customHeight="false" outlineLevel="0" collapsed="false">
      <c r="A54" s="17" t="n">
        <f aca="false">Prices!A55</f>
        <v>44255</v>
      </c>
      <c r="B54" s="14" t="n">
        <f aca="false">Prices!B55/Prices!B54-1</f>
        <v>0.0313932996047093</v>
      </c>
      <c r="C54" s="14" t="n">
        <f aca="false">Prices!C55/Prices!C54-1</f>
        <v>0.0243226657691067</v>
      </c>
      <c r="D54" s="14" t="n">
        <f aca="false">Prices!D55/Prices!D54-1</f>
        <v>0.0156731592216814</v>
      </c>
      <c r="E54" s="14" t="n">
        <f aca="false">Prices!E55/Prices!E54-1</f>
        <v>0.0317817081996548</v>
      </c>
      <c r="F54" s="14" t="n">
        <f aca="false">Prices!F55/Prices!F54-1</f>
        <v>-0.0135530887900379</v>
      </c>
      <c r="G54" s="14" t="n">
        <f aca="false">Prices!G55/Prices!G54-1</f>
        <v>0.0342515055134738</v>
      </c>
      <c r="H54" s="14" t="n">
        <f aca="false">Prices!H55/Prices!H54-1</f>
        <v>-0.0154771709189051</v>
      </c>
      <c r="I54" s="14" t="n">
        <f aca="false">Prices!I55/Prices!I54-1</f>
        <v>-0.016061446669147</v>
      </c>
      <c r="J54" s="14" t="n">
        <f aca="false">Prices!J55/Prices!J54-1</f>
        <v>-0.06324778138164</v>
      </c>
      <c r="K54" s="14" t="n">
        <f aca="false">Prices!K55/Prices!K54-1</f>
        <v>-0.000109419074479367</v>
      </c>
      <c r="L54" s="14" t="n">
        <f aca="false">Prices!L55/Prices!L54-1</f>
        <v>0.0278052133031084</v>
      </c>
      <c r="M54" s="14" t="n">
        <f aca="false">Prices!M55/Prices!M54-1</f>
        <v>-0.0151813258266152</v>
      </c>
      <c r="N54" s="14" t="n">
        <f aca="false">Prices!N55/Prices!N54-1</f>
        <v>0.0117193939251177</v>
      </c>
      <c r="O54" s="19" t="n">
        <f aca="false">Prices!O54/100/12</f>
        <v>5E-005</v>
      </c>
    </row>
    <row r="55" customFormat="false" ht="15" hidden="false" customHeight="false" outlineLevel="0" collapsed="false">
      <c r="A55" s="17" t="n">
        <f aca="false">Prices!A56</f>
        <v>44286</v>
      </c>
      <c r="B55" s="14" t="n">
        <f aca="false">Prices!B56/Prices!B55-1</f>
        <v>0.0364794478404544</v>
      </c>
      <c r="C55" s="14" t="n">
        <f aca="false">Prices!C56/Prices!C55-1</f>
        <v>0.0276849487445752</v>
      </c>
      <c r="D55" s="14" t="n">
        <f aca="false">Prices!D56/Prices!D55-1</f>
        <v>-0.00710394743678389</v>
      </c>
      <c r="E55" s="14" t="n">
        <f aca="false">Prices!E56/Prices!E55-1</f>
        <v>0.117921560681715</v>
      </c>
      <c r="F55" s="14" t="n">
        <f aca="false">Prices!F56/Prices!F55-1</f>
        <v>0.0460577251051575</v>
      </c>
      <c r="G55" s="14" t="n">
        <f aca="false">Prices!G56/Prices!G55-1</f>
        <v>0.051520402705161</v>
      </c>
      <c r="H55" s="14" t="n">
        <f aca="false">Prices!H56/Prices!H55-1</f>
        <v>-0.0127134071612409</v>
      </c>
      <c r="I55" s="14" t="n">
        <f aca="false">Prices!I56/Prices!I55-1</f>
        <v>-0.00163222934073182</v>
      </c>
      <c r="J55" s="14" t="n">
        <f aca="false">Prices!J56/Prices!J55-1</f>
        <v>-0.0109489351901174</v>
      </c>
      <c r="K55" s="14" t="n">
        <f aca="false">Prices!K56/Prices!K55-1</f>
        <v>-0.000109431048323616</v>
      </c>
      <c r="L55" s="14" t="n">
        <f aca="false">Prices!L56/Prices!L55-1</f>
        <v>0.0453993099115375</v>
      </c>
      <c r="M55" s="14" t="n">
        <f aca="false">Prices!M56/Prices!M55-1</f>
        <v>-0.0114632042671857</v>
      </c>
      <c r="N55" s="14" t="n">
        <f aca="false">Prices!N56/Prices!N55-1</f>
        <v>0.0170908937834826</v>
      </c>
      <c r="O55" s="19" t="n">
        <f aca="false">Prices!O55/100/12</f>
        <v>3.33333333333333E-005</v>
      </c>
    </row>
    <row r="56" customFormat="false" ht="15" hidden="false" customHeight="false" outlineLevel="0" collapsed="false">
      <c r="A56" s="17" t="n">
        <f aca="false">Prices!A57</f>
        <v>44316</v>
      </c>
      <c r="B56" s="14" t="n">
        <f aca="false">Prices!B57/Prices!B56-1</f>
        <v>0.0503650756123999</v>
      </c>
      <c r="C56" s="14" t="n">
        <f aca="false">Prices!C57/Prices!C56-1</f>
        <v>0.0305433609281134</v>
      </c>
      <c r="D56" s="14" t="n">
        <f aca="false">Prices!D57/Prices!D56-1</f>
        <v>0.0178673871424453</v>
      </c>
      <c r="E56" s="14" t="n">
        <f aca="false">Prices!E57/Prices!E56-1</f>
        <v>0.0514889365290419</v>
      </c>
      <c r="F56" s="14" t="n">
        <f aca="false">Prices!F57/Prices!F56-1</f>
        <v>0.00373124165917682</v>
      </c>
      <c r="G56" s="14" t="n">
        <f aca="false">Prices!G57/Prices!G56-1</f>
        <v>0.0785975916588551</v>
      </c>
      <c r="H56" s="14" t="n">
        <f aca="false">Prices!H57/Prices!H56-1</f>
        <v>0.00866007249663237</v>
      </c>
      <c r="I56" s="14" t="n">
        <f aca="false">Prices!I57/Prices!I56-1</f>
        <v>0.0138209932179973</v>
      </c>
      <c r="J56" s="14" t="n">
        <f aca="false">Prices!J57/Prices!J56-1</f>
        <v>0.036285393603936</v>
      </c>
      <c r="K56" s="14" t="n">
        <f aca="false">Prices!K57/Prices!K56-1</f>
        <v>0</v>
      </c>
      <c r="L56" s="14" t="n">
        <f aca="false">Prices!L57/Prices!L56-1</f>
        <v>0.0529105478486116</v>
      </c>
      <c r="M56" s="14" t="n">
        <f aca="false">Prices!M57/Prices!M56-1</f>
        <v>0.00732001066724597</v>
      </c>
      <c r="N56" s="14" t="n">
        <f aca="false">Prices!N57/Prices!N56-1</f>
        <v>0.0268110387599863</v>
      </c>
      <c r="O56" s="19" t="n">
        <f aca="false">Prices!O56/100/12</f>
        <v>2.5E-005</v>
      </c>
    </row>
    <row r="57" customFormat="false" ht="15" hidden="false" customHeight="false" outlineLevel="0" collapsed="false">
      <c r="A57" s="17" t="n">
        <f aca="false">Prices!A58</f>
        <v>44347</v>
      </c>
      <c r="B57" s="14" t="n">
        <f aca="false">Prices!B58/Prices!B57-1</f>
        <v>0.00455998393981161</v>
      </c>
      <c r="C57" s="14" t="n">
        <f aca="false">Prices!C58/Prices!C57-1</f>
        <v>0.0357635923948425</v>
      </c>
      <c r="D57" s="14" t="n">
        <f aca="false">Prices!D58/Prices!D57-1</f>
        <v>0.0169876273342793</v>
      </c>
      <c r="E57" s="14" t="n">
        <f aca="false">Prices!E58/Prices!E57-1</f>
        <v>0.0201165118468274</v>
      </c>
      <c r="F57" s="14" t="n">
        <f aca="false">Prices!F58/Prices!F57-1</f>
        <v>0.104832722489802</v>
      </c>
      <c r="G57" s="14" t="n">
        <f aca="false">Prices!G58/Prices!G57-1</f>
        <v>0.00807432061233437</v>
      </c>
      <c r="H57" s="14" t="n">
        <f aca="false">Prices!H58/Prices!H57-1</f>
        <v>0.00153887905234607</v>
      </c>
      <c r="I57" s="14" t="n">
        <f aca="false">Prices!I58/Prices!I57-1</f>
        <v>0.0105461908906896</v>
      </c>
      <c r="J57" s="14" t="n">
        <f aca="false">Prices!J58/Prices!J57-1</f>
        <v>0.0759643004164896</v>
      </c>
      <c r="K57" s="14" t="n">
        <f aca="false">Prices!K58/Prices!K57-1</f>
        <v>-0.000109037292455483</v>
      </c>
      <c r="L57" s="14" t="n">
        <f aca="false">Prices!L58/Prices!L57-1</f>
        <v>0.00656614968673708</v>
      </c>
      <c r="M57" s="14" t="n">
        <f aca="false">Prices!M58/Prices!M57-1</f>
        <v>0.0020385467425208</v>
      </c>
      <c r="N57" s="14" t="n">
        <f aca="false">Prices!N58/Prices!N57-1</f>
        <v>0.0129374436501766</v>
      </c>
      <c r="O57" s="19" t="n">
        <f aca="false">Prices!O57/100/12</f>
        <v>8.33333333333333E-006</v>
      </c>
    </row>
    <row r="58" customFormat="false" ht="15" hidden="false" customHeight="false" outlineLevel="0" collapsed="false">
      <c r="A58" s="17" t="n">
        <f aca="false">Prices!A59</f>
        <v>44377</v>
      </c>
      <c r="B58" s="14" t="n">
        <f aca="false">Prices!B59/Prices!B58-1</f>
        <v>0.0248199942807448</v>
      </c>
      <c r="C58" s="14" t="n">
        <f aca="false">Prices!C59/Prices!C58-1</f>
        <v>-0.00921313486852415</v>
      </c>
      <c r="D58" s="14" t="n">
        <f aca="false">Prices!D59/Prices!D58-1</f>
        <v>0.0132678531369619</v>
      </c>
      <c r="E58" s="14" t="n">
        <f aca="false">Prices!E59/Prices!E58-1</f>
        <v>0.0324957400934107</v>
      </c>
      <c r="F58" s="14" t="n">
        <f aca="false">Prices!F59/Prices!F58-1</f>
        <v>-0.0154393772058152</v>
      </c>
      <c r="G58" s="14" t="n">
        <f aca="false">Prices!G59/Prices!G58-1</f>
        <v>0.0263753595085794</v>
      </c>
      <c r="H58" s="14" t="n">
        <f aca="false">Prices!H59/Prices!H58-1</f>
        <v>0.00897436402931295</v>
      </c>
      <c r="I58" s="14" t="n">
        <f aca="false">Prices!I59/Prices!I58-1</f>
        <v>0.00637513204407658</v>
      </c>
      <c r="J58" s="14" t="n">
        <f aca="false">Prices!J59/Prices!J58-1</f>
        <v>-0.0703254037686378</v>
      </c>
      <c r="K58" s="14" t="n">
        <f aca="false">Prices!K59/Prices!K58-1</f>
        <v>-0.000218700485849266</v>
      </c>
      <c r="L58" s="14" t="n">
        <f aca="false">Prices!L59/Prices!L58-1</f>
        <v>0.0224273186143993</v>
      </c>
      <c r="M58" s="14" t="n">
        <f aca="false">Prices!M59/Prices!M58-1</f>
        <v>0.00827940413126793</v>
      </c>
      <c r="N58" s="14" t="n">
        <f aca="false">Prices!N59/Prices!N58-1</f>
        <v>0.00737551136269588</v>
      </c>
      <c r="O58" s="19" t="n">
        <f aca="false">Prices!O58/100/12</f>
        <v>8.33333333333333E-006</v>
      </c>
    </row>
    <row r="59" customFormat="false" ht="15" hidden="false" customHeight="false" outlineLevel="0" collapsed="false">
      <c r="A59" s="17" t="n">
        <f aca="false">Prices!A60</f>
        <v>44408</v>
      </c>
      <c r="B59" s="14" t="n">
        <f aca="false">Prices!B60/Prices!B59-1</f>
        <v>0.0173681957779541</v>
      </c>
      <c r="C59" s="14" t="n">
        <f aca="false">Prices!C60/Prices!C59-1</f>
        <v>0.0050462993884024</v>
      </c>
      <c r="D59" s="14" t="n">
        <f aca="false">Prices!D60/Prices!D59-1</f>
        <v>-0.0589210168862141</v>
      </c>
      <c r="E59" s="14" t="n">
        <f aca="false">Prices!E60/Prices!E59-1</f>
        <v>0.00811784576006525</v>
      </c>
      <c r="F59" s="14" t="n">
        <f aca="false">Prices!F60/Prices!F59-1</f>
        <v>0.000707706318336054</v>
      </c>
      <c r="G59" s="14" t="n">
        <f aca="false">Prices!G60/Prices!G59-1</f>
        <v>0.0442084667157292</v>
      </c>
      <c r="H59" s="14" t="n">
        <f aca="false">Prices!H60/Prices!H59-1</f>
        <v>0.0116842765678897</v>
      </c>
      <c r="I59" s="14" t="n">
        <f aca="false">Prices!I60/Prices!I59-1</f>
        <v>0.0273028900349785</v>
      </c>
      <c r="J59" s="14" t="n">
        <f aca="false">Prices!J60/Prices!J59-1</f>
        <v>0.0252151297898287</v>
      </c>
      <c r="K59" s="14" t="n">
        <f aca="false">Prices!K60/Prices!K59-1</f>
        <v>-0.000109387255537774</v>
      </c>
      <c r="L59" s="14" t="n">
        <f aca="false">Prices!L60/Prices!L59-1</f>
        <v>0.024412333284537</v>
      </c>
      <c r="M59" s="14" t="n">
        <f aca="false">Prices!M60/Prices!M59-1</f>
        <v>0.0111649333676569</v>
      </c>
      <c r="N59" s="14" t="n">
        <f aca="false">Prices!N60/Prices!N59-1</f>
        <v>0.00815789902346453</v>
      </c>
      <c r="O59" s="19" t="n">
        <f aca="false">Prices!O59/100/12</f>
        <v>4.16666666666667E-005</v>
      </c>
    </row>
    <row r="60" customFormat="false" ht="15" hidden="false" customHeight="false" outlineLevel="0" collapsed="false">
      <c r="A60" s="17" t="n">
        <f aca="false">Prices!A61</f>
        <v>44439</v>
      </c>
      <c r="B60" s="14" t="n">
        <f aca="false">Prices!B61/Prices!B60-1</f>
        <v>0.028585416663534</v>
      </c>
      <c r="C60" s="14" t="n">
        <f aca="false">Prices!C61/Prices!C60-1</f>
        <v>0.0131324601785023</v>
      </c>
      <c r="D60" s="14" t="n">
        <f aca="false">Prices!D61/Prices!D60-1</f>
        <v>0.0219134347666869</v>
      </c>
      <c r="E60" s="14" t="n">
        <f aca="false">Prices!E61/Prices!E60-1</f>
        <v>0.0374936395658805</v>
      </c>
      <c r="F60" s="14" t="n">
        <f aca="false">Prices!F61/Prices!F60-1</f>
        <v>0.05445561940814</v>
      </c>
      <c r="G60" s="14" t="n">
        <f aca="false">Prices!G61/Prices!G60-1</f>
        <v>0.0215448241960479</v>
      </c>
      <c r="H60" s="14" t="n">
        <f aca="false">Prices!H61/Prices!H60-1</f>
        <v>-0.00189327950700602</v>
      </c>
      <c r="I60" s="14" t="n">
        <f aca="false">Prices!I61/Prices!I60-1</f>
        <v>-0.00108603805454943</v>
      </c>
      <c r="J60" s="14" t="n">
        <f aca="false">Prices!J61/Prices!J60-1</f>
        <v>-0.000868113400806947</v>
      </c>
      <c r="K60" s="14" t="n">
        <f aca="false">Prices!K61/Prices!K60-1</f>
        <v>-0.000109281377654535</v>
      </c>
      <c r="L60" s="14" t="n">
        <f aca="false">Prices!L61/Prices!L60-1</f>
        <v>0.0297599451757964</v>
      </c>
      <c r="M60" s="14" t="n">
        <f aca="false">Prices!M61/Prices!M60-1</f>
        <v>-0.00200287307524683</v>
      </c>
      <c r="N60" s="14" t="n">
        <f aca="false">Prices!N61/Prices!N60-1</f>
        <v>0.0163759844020124</v>
      </c>
      <c r="O60" s="19" t="n">
        <f aca="false">Prices!O60/100/12</f>
        <v>5E-005</v>
      </c>
    </row>
    <row r="61" customFormat="false" ht="15" hidden="false" customHeight="false" outlineLevel="0" collapsed="false">
      <c r="A61" s="17" t="n">
        <f aca="false">Prices!A62</f>
        <v>44469</v>
      </c>
      <c r="B61" s="14" t="n">
        <f aca="false">Prices!B62/Prices!B61-1</f>
        <v>-0.0446415142782928</v>
      </c>
      <c r="C61" s="14" t="n">
        <f aca="false">Prices!C62/Prices!C61-1</f>
        <v>-0.0338556783658331</v>
      </c>
      <c r="D61" s="14" t="n">
        <f aca="false">Prices!D62/Prices!D61-1</f>
        <v>-0.0336197736325129</v>
      </c>
      <c r="E61" s="14" t="n">
        <f aca="false">Prices!E62/Prices!E61-1</f>
        <v>0.0138246120326275</v>
      </c>
      <c r="F61" s="14" t="n">
        <f aca="false">Prices!F62/Prices!F61-1</f>
        <v>-0.00469486466632008</v>
      </c>
      <c r="G61" s="14" t="n">
        <f aca="false">Prices!G62/Prices!G61-1</f>
        <v>-0.0568144646806557</v>
      </c>
      <c r="H61" s="14" t="n">
        <f aca="false">Prices!H62/Prices!H61-1</f>
        <v>-0.0101363099199983</v>
      </c>
      <c r="I61" s="14" t="n">
        <f aca="false">Prices!I62/Prices!I61-1</f>
        <v>-0.00750177824738918</v>
      </c>
      <c r="J61" s="14" t="n">
        <f aca="false">Prices!J62/Prices!J61-1</f>
        <v>-0.032435535257328</v>
      </c>
      <c r="K61" s="14" t="n">
        <f aca="false">Prices!K62/Prices!K61-1</f>
        <v>0.000109293321379322</v>
      </c>
      <c r="L61" s="14" t="n">
        <f aca="false">Prices!L62/Prices!L61-1</f>
        <v>-0.046605524528489</v>
      </c>
      <c r="M61" s="14" t="n">
        <f aca="false">Prices!M62/Prices!M61-1</f>
        <v>-0.0091726478055133</v>
      </c>
      <c r="N61" s="14" t="n">
        <f aca="false">Prices!N62/Prices!N61-1</f>
        <v>-0.028546388484878</v>
      </c>
      <c r="O61" s="19" t="n">
        <f aca="false">Prices!O61/100/12</f>
        <v>3.33333333333333E-005</v>
      </c>
    </row>
    <row r="62" customFormat="false" ht="15" hidden="false" customHeight="false" outlineLevel="0" collapsed="false">
      <c r="A62" s="17" t="n">
        <f aca="false">Prices!A63</f>
        <v>44500</v>
      </c>
      <c r="B62" s="14" t="n">
        <f aca="false">Prices!B63/Prices!B62-1</f>
        <v>0.0668739313572118</v>
      </c>
      <c r="C62" s="14" t="n">
        <f aca="false">Prices!C63/Prices!C62-1</f>
        <v>0.0322835268099302</v>
      </c>
      <c r="D62" s="14" t="n">
        <f aca="false">Prices!D63/Prices!D62-1</f>
        <v>0.0129974547130609</v>
      </c>
      <c r="E62" s="14" t="n">
        <f aca="false">Prices!E63/Prices!E62-1</f>
        <v>0.0344500582757148</v>
      </c>
      <c r="F62" s="14" t="n">
        <f aca="false">Prices!F63/Prices!F62-1</f>
        <v>-0.0026953878701016</v>
      </c>
      <c r="G62" s="14" t="n">
        <f aca="false">Prices!G63/Prices!G62-1</f>
        <v>0.0713303425171166</v>
      </c>
      <c r="H62" s="14" t="n">
        <f aca="false">Prices!H63/Prices!H62-1</f>
        <v>0.000702857766969878</v>
      </c>
      <c r="I62" s="14" t="n">
        <f aca="false">Prices!I63/Prices!I62-1</f>
        <v>0.0111585615552445</v>
      </c>
      <c r="J62" s="14" t="n">
        <f aca="false">Prices!J63/Prices!J62-1</f>
        <v>0.0155642023346305</v>
      </c>
      <c r="K62" s="14" t="n">
        <f aca="false">Prices!K63/Prices!K62-1</f>
        <v>-0.000109281377654535</v>
      </c>
      <c r="L62" s="14" t="n">
        <f aca="false">Prices!L63/Prices!L62-1</f>
        <v>0.0701638966675608</v>
      </c>
      <c r="M62" s="14" t="n">
        <f aca="false">Prices!M63/Prices!M62-1</f>
        <v>-8.69814215029852E-005</v>
      </c>
      <c r="N62" s="14" t="n">
        <f aca="false">Prices!N63/Prices!N62-1</f>
        <v>0.0283229305664041</v>
      </c>
      <c r="O62" s="19" t="n">
        <f aca="false">Prices!O62/100/12</f>
        <v>3.33333333333333E-005</v>
      </c>
    </row>
    <row r="63" customFormat="false" ht="15" hidden="false" customHeight="false" outlineLevel="0" collapsed="false">
      <c r="A63" s="17" t="n">
        <f aca="false">Prices!A64</f>
        <v>44530</v>
      </c>
      <c r="B63" s="14" t="n">
        <f aca="false">Prices!B64/Prices!B63-1</f>
        <v>-0.0146050091986998</v>
      </c>
      <c r="C63" s="14" t="n">
        <f aca="false">Prices!C64/Prices!C63-1</f>
        <v>-0.0464312441238984</v>
      </c>
      <c r="D63" s="14" t="n">
        <f aca="false">Prices!D64/Prices!D63-1</f>
        <v>-0.0290171901243949</v>
      </c>
      <c r="E63" s="14" t="n">
        <f aca="false">Prices!E64/Prices!E63-1</f>
        <v>-0.0890380524179014</v>
      </c>
      <c r="F63" s="14" t="n">
        <f aca="false">Prices!F64/Prices!F63-1</f>
        <v>0.120270077394121</v>
      </c>
      <c r="G63" s="14" t="n">
        <f aca="false">Prices!G64/Prices!G63-1</f>
        <v>-0.0210932989959204</v>
      </c>
      <c r="H63" s="14" t="n">
        <f aca="false">Prices!H64/Prices!H63-1</f>
        <v>0.00204168684813011</v>
      </c>
      <c r="I63" s="14" t="n">
        <f aca="false">Prices!I64/Prices!I63-1</f>
        <v>0.00788139357988715</v>
      </c>
      <c r="J63" s="14" t="n">
        <f aca="false">Prices!J64/Prices!J63-1</f>
        <v>-0.00736811081638666</v>
      </c>
      <c r="K63" s="14" t="n">
        <f aca="false">Prices!K64/Prices!K63-1</f>
        <v>-0.000218704500401956</v>
      </c>
      <c r="L63" s="14" t="n">
        <f aca="false">Prices!L64/Prices!L63-1</f>
        <v>-0.00803504521093046</v>
      </c>
      <c r="M63" s="14" t="n">
        <f aca="false">Prices!M64/Prices!M63-1</f>
        <v>0.0027080801749535</v>
      </c>
      <c r="N63" s="14" t="n">
        <f aca="false">Prices!N64/Prices!N63-1</f>
        <v>-0.0117751757610497</v>
      </c>
      <c r="O63" s="19" t="n">
        <f aca="false">Prices!O63/100/12</f>
        <v>4.16666666666667E-005</v>
      </c>
    </row>
    <row r="64" customFormat="false" ht="15" hidden="false" customHeight="false" outlineLevel="0" collapsed="false">
      <c r="A64" s="17" t="n">
        <f aca="false">Prices!A65</f>
        <v>44561</v>
      </c>
      <c r="B64" s="14" t="n">
        <f aca="false">Prices!B65/Prices!B64-1</f>
        <v>0.0379304187065166</v>
      </c>
      <c r="C64" s="14" t="n">
        <f aca="false">Prices!C65/Prices!C64-1</f>
        <v>0.0432856565293225</v>
      </c>
      <c r="D64" s="14" t="n">
        <f aca="false">Prices!D65/Prices!D64-1</f>
        <v>0.0154022264921738</v>
      </c>
      <c r="E64" s="14" t="n">
        <f aca="false">Prices!E65/Prices!E64-1</f>
        <v>0.0454786081185148</v>
      </c>
      <c r="F64" s="14" t="n">
        <f aca="false">Prices!F65/Prices!F64-1</f>
        <v>-0.00912248281379879</v>
      </c>
      <c r="G64" s="14" t="n">
        <f aca="false">Prices!G65/Prices!G64-1</f>
        <v>0.0970560349656811</v>
      </c>
      <c r="H64" s="14" t="n">
        <f aca="false">Prices!H65/Prices!H64-1</f>
        <v>-0.00310364408436081</v>
      </c>
      <c r="I64" s="14" t="n">
        <f aca="false">Prices!I65/Prices!I64-1</f>
        <v>0.00412489968646246</v>
      </c>
      <c r="J64" s="14" t="n">
        <f aca="false">Prices!J65/Prices!J64-1</f>
        <v>0.0335510985748218</v>
      </c>
      <c r="K64" s="14" t="n">
        <f aca="false">Prices!K65/Prices!K64-1</f>
        <v>0</v>
      </c>
      <c r="L64" s="14" t="n">
        <f aca="false">Prices!L65/Prices!L64-1</f>
        <v>0.0462478211430211</v>
      </c>
      <c r="M64" s="14" t="n">
        <f aca="false">Prices!M65/Prices!M64-1</f>
        <v>-0.00358710658297523</v>
      </c>
      <c r="N64" s="14" t="n">
        <f aca="false">Prices!N65/Prices!N64-1</f>
        <v>0.0224143586194721</v>
      </c>
      <c r="O64" s="19" t="n">
        <f aca="false">Prices!O64/100/12</f>
        <v>4.16666666666667E-005</v>
      </c>
    </row>
    <row r="65" customFormat="false" ht="15" hidden="false" customHeight="false" outlineLevel="0" collapsed="false">
      <c r="A65" s="17" t="n">
        <f aca="false">Prices!A66</f>
        <v>44592</v>
      </c>
      <c r="B65" s="14" t="n">
        <f aca="false">Prices!B66/Prices!B65-1</f>
        <v>-0.0605948298225369</v>
      </c>
      <c r="C65" s="14" t="n">
        <f aca="false">Prices!C66/Prices!C65-1</f>
        <v>-0.0385819236279744</v>
      </c>
      <c r="D65" s="14" t="n">
        <f aca="false">Prices!D66/Prices!D65-1</f>
        <v>0.00424620357718863</v>
      </c>
      <c r="E65" s="14" t="n">
        <f aca="false">Prices!E66/Prices!E65-1</f>
        <v>0.113475058821099</v>
      </c>
      <c r="F65" s="14" t="n">
        <f aca="false">Prices!F66/Prices!F65-1</f>
        <v>0.0346533887006253</v>
      </c>
      <c r="G65" s="14" t="n">
        <f aca="false">Prices!G66/Prices!G65-1</f>
        <v>-0.0842167682364491</v>
      </c>
      <c r="H65" s="14" t="n">
        <f aca="false">Prices!H66/Prices!H65-1</f>
        <v>-0.0206489704972447</v>
      </c>
      <c r="I65" s="14" t="n">
        <f aca="false">Prices!I66/Prices!I65-1</f>
        <v>-0.0200348982212946</v>
      </c>
      <c r="J65" s="14" t="n">
        <f aca="false">Prices!J66/Prices!J65-1</f>
        <v>-0.0169491520554681</v>
      </c>
      <c r="K65" s="14" t="n">
        <f aca="false">Prices!K66/Prices!K65-1</f>
        <v>0</v>
      </c>
      <c r="L65" s="14" t="n">
        <f aca="false">Prices!L66/Prices!L65-1</f>
        <v>-0.0527412574455054</v>
      </c>
      <c r="M65" s="14" t="n">
        <f aca="false">Prices!M66/Prices!M65-1</f>
        <v>-0.0199858199433949</v>
      </c>
      <c r="N65" s="14" t="n">
        <f aca="false">Prices!N66/Prices!N65-1</f>
        <v>-0.0338121410344978</v>
      </c>
      <c r="O65" s="19" t="n">
        <f aca="false">Prices!O65/100/12</f>
        <v>5E-005</v>
      </c>
    </row>
    <row r="66" customFormat="false" ht="15" hidden="false" customHeight="false" outlineLevel="0" collapsed="false">
      <c r="A66" s="17" t="n">
        <f aca="false">Prices!A67</f>
        <v>44620</v>
      </c>
      <c r="B66" s="14" t="n">
        <f aca="false">Prices!B67/Prices!B66-1</f>
        <v>-0.0248666304824637</v>
      </c>
      <c r="C66" s="14" t="n">
        <f aca="false">Prices!C67/Prices!C66-1</f>
        <v>-0.0264821404477388</v>
      </c>
      <c r="D66" s="14" t="n">
        <f aca="false">Prices!D67/Prices!D66-1</f>
        <v>-0.0372459951030341</v>
      </c>
      <c r="E66" s="14" t="n">
        <f aca="false">Prices!E67/Prices!E66-1</f>
        <v>0.0232814727573942</v>
      </c>
      <c r="F66" s="14" t="n">
        <f aca="false">Prices!F67/Prices!F66-1</f>
        <v>0.0490430464324119</v>
      </c>
      <c r="G66" s="14" t="n">
        <f aca="false">Prices!G67/Prices!G66-1</f>
        <v>-0.0348267893255463</v>
      </c>
      <c r="H66" s="14" t="n">
        <f aca="false">Prices!H67/Prices!H66-1</f>
        <v>-0.0113802624785208</v>
      </c>
      <c r="I66" s="14" t="n">
        <f aca="false">Prices!I67/Prices!I66-1</f>
        <v>0.00807967914173391</v>
      </c>
      <c r="J66" s="14" t="n">
        <f aca="false">Prices!J67/Prices!J66-1</f>
        <v>0.0610753927213501</v>
      </c>
      <c r="K66" s="14" t="n">
        <f aca="false">Prices!K67/Prices!K66-1</f>
        <v>-0.000219053600165608</v>
      </c>
      <c r="L66" s="14" t="n">
        <f aca="false">Prices!L67/Prices!L66-1</f>
        <v>-0.0295169982637883</v>
      </c>
      <c r="M66" s="14" t="n">
        <f aca="false">Prices!M67/Prices!M66-1</f>
        <v>-0.0114566282371128</v>
      </c>
      <c r="N66" s="14" t="n">
        <f aca="false">Prices!N67/Prices!N66-1</f>
        <v>-0.0199455979502199</v>
      </c>
      <c r="O66" s="19" t="n">
        <f aca="false">Prices!O66/100/12</f>
        <v>0.000183333333333333</v>
      </c>
    </row>
    <row r="67" customFormat="false" ht="15" hidden="false" customHeight="false" outlineLevel="0" collapsed="false">
      <c r="A67" s="17" t="n">
        <f aca="false">Prices!A68</f>
        <v>44651</v>
      </c>
      <c r="B67" s="14" t="n">
        <f aca="false">Prices!B68/Prices!B67-1</f>
        <v>0.0325995342882968</v>
      </c>
      <c r="C67" s="14" t="n">
        <f aca="false">Prices!C68/Prices!C67-1</f>
        <v>0.00675443337270854</v>
      </c>
      <c r="D67" s="14" t="n">
        <f aca="false">Prices!D68/Prices!D67-1</f>
        <v>-0.0325529998801957</v>
      </c>
      <c r="E67" s="14" t="n">
        <f aca="false">Prices!E68/Prices!E67-1</f>
        <v>0.0186732533528364</v>
      </c>
      <c r="F67" s="14" t="n">
        <f aca="false">Prices!F68/Prices!F67-1</f>
        <v>0.0832384244244893</v>
      </c>
      <c r="G67" s="14" t="n">
        <f aca="false">Prices!G68/Prices!G67-1</f>
        <v>0.0626390792444911</v>
      </c>
      <c r="H67" s="14" t="n">
        <f aca="false">Prices!H68/Prices!H67-1</f>
        <v>-0.0275211926705803</v>
      </c>
      <c r="I67" s="14" t="n">
        <f aca="false">Prices!I68/Prices!I67-1</f>
        <v>-0.0189868390256212</v>
      </c>
      <c r="J67" s="14" t="n">
        <f aca="false">Prices!J68/Prices!J67-1</f>
        <v>0.0143211508036036</v>
      </c>
      <c r="K67" s="14" t="n">
        <f aca="false">Prices!K68/Prices!K67-1</f>
        <v>0.000460291523816769</v>
      </c>
      <c r="L67" s="14" t="n">
        <f aca="false">Prices!L68/Prices!L67-1</f>
        <v>0.0375903487795009</v>
      </c>
      <c r="M67" s="14" t="n">
        <f aca="false">Prices!M68/Prices!M67-1</f>
        <v>-0.0281217864189236</v>
      </c>
      <c r="N67" s="14" t="n">
        <f aca="false">Prices!N68/Prices!N67-1</f>
        <v>-0.0016650643571231</v>
      </c>
      <c r="O67" s="19" t="n">
        <f aca="false">Prices!O67/100/12</f>
        <v>0.000291666666666667</v>
      </c>
    </row>
    <row r="68" customFormat="false" ht="15" hidden="false" customHeight="false" outlineLevel="0" collapsed="false">
      <c r="A68" s="17" t="n">
        <f aca="false">Prices!A69</f>
        <v>44681</v>
      </c>
      <c r="B68" s="14" t="n">
        <f aca="false">Prices!B69/Prices!B68-1</f>
        <v>-0.0913162214878973</v>
      </c>
      <c r="C68" s="14" t="n">
        <f aca="false">Prices!C69/Prices!C68-1</f>
        <v>-0.0678740854190624</v>
      </c>
      <c r="D68" s="14" t="n">
        <f aca="false">Prices!D69/Prices!D68-1</f>
        <v>-0.0583134236985003</v>
      </c>
      <c r="E68" s="14" t="n">
        <f aca="false">Prices!E69/Prices!E68-1</f>
        <v>0.0676359177846329</v>
      </c>
      <c r="F68" s="14" t="n">
        <f aca="false">Prices!F69/Prices!F68-1</f>
        <v>-0.00947374150396974</v>
      </c>
      <c r="G68" s="14" t="n">
        <f aca="false">Prices!G69/Prices!G68-1</f>
        <v>-0.0408782853134958</v>
      </c>
      <c r="H68" s="14" t="n">
        <f aca="false">Prices!H69/Prices!H68-1</f>
        <v>-0.0397268814827261</v>
      </c>
      <c r="I68" s="14" t="n">
        <f aca="false">Prices!I69/Prices!I68-1</f>
        <v>-0.021807559474834</v>
      </c>
      <c r="J68" s="14" t="n">
        <f aca="false">Prices!J69/Prices!J68-1</f>
        <v>-0.0214499309557464</v>
      </c>
      <c r="K68" s="14" t="n">
        <f aca="false">Prices!K69/Prices!K68-1</f>
        <v>-0.000109696820485339</v>
      </c>
      <c r="L68" s="14" t="n">
        <f aca="false">Prices!L69/Prices!L68-1</f>
        <v>-0.087769091674494</v>
      </c>
      <c r="M68" s="14" t="n">
        <f aca="false">Prices!M69/Prices!M68-1</f>
        <v>-0.0380587572268264</v>
      </c>
      <c r="N68" s="14" t="n">
        <f aca="false">Prices!N69/Prices!N68-1</f>
        <v>-0.060408951759012</v>
      </c>
      <c r="O68" s="19" t="n">
        <f aca="false">Prices!O68/100/12</f>
        <v>0.000433333333333333</v>
      </c>
    </row>
    <row r="69" customFormat="false" ht="15" hidden="false" customHeight="false" outlineLevel="0" collapsed="false">
      <c r="A69" s="17" t="n">
        <f aca="false">Prices!A70</f>
        <v>44712</v>
      </c>
      <c r="B69" s="14" t="n">
        <f aca="false">Prices!B70/Prices!B69-1</f>
        <v>-0.00251364952668154</v>
      </c>
      <c r="C69" s="14" t="n">
        <f aca="false">Prices!C70/Prices!C69-1</f>
        <v>0.0165288519652937</v>
      </c>
      <c r="D69" s="14" t="n">
        <f aca="false">Prices!D70/Prices!D69-1</f>
        <v>0.00460417255857459</v>
      </c>
      <c r="E69" s="14" t="n">
        <f aca="false">Prices!E70/Prices!E69-1</f>
        <v>-0.0769686267260141</v>
      </c>
      <c r="F69" s="14" t="n">
        <f aca="false">Prices!F70/Prices!F69-1</f>
        <v>-0.0781083446661087</v>
      </c>
      <c r="G69" s="14" t="n">
        <f aca="false">Prices!G70/Prices!G69-1</f>
        <v>-0.0468541305740879</v>
      </c>
      <c r="H69" s="14" t="n">
        <f aca="false">Prices!H70/Prices!H69-1</f>
        <v>0.00829732157960739</v>
      </c>
      <c r="I69" s="14" t="n">
        <f aca="false">Prices!I70/Prices!I69-1</f>
        <v>-0.00912558584152134</v>
      </c>
      <c r="J69" s="14" t="n">
        <f aca="false">Prices!J70/Prices!J69-1</f>
        <v>-0.0324639835609327</v>
      </c>
      <c r="K69" s="14" t="n">
        <f aca="false">Prices!K70/Prices!K69-1</f>
        <v>0.000327921693362931</v>
      </c>
      <c r="L69" s="14" t="n">
        <f aca="false">Prices!L70/Prices!L69-1</f>
        <v>0.00225731279789865</v>
      </c>
      <c r="M69" s="14" t="n">
        <f aca="false">Prices!M70/Prices!M69-1</f>
        <v>0.00760555707560906</v>
      </c>
      <c r="N69" s="14" t="n">
        <f aca="false">Prices!N70/Prices!N69-1</f>
        <v>0.00494462235303805</v>
      </c>
      <c r="O69" s="19" t="n">
        <f aca="false">Prices!O69/100/12</f>
        <v>0.000708333333333333</v>
      </c>
    </row>
    <row r="70" customFormat="false" ht="15" hidden="false" customHeight="false" outlineLevel="0" collapsed="false">
      <c r="A70" s="17" t="n">
        <f aca="false">Prices!A71</f>
        <v>44742</v>
      </c>
      <c r="B70" s="14" t="n">
        <f aca="false">Prices!B71/Prices!B70-1</f>
        <v>-0.0823128016856177</v>
      </c>
      <c r="C70" s="14" t="n">
        <f aca="false">Prices!C71/Prices!C70-1</f>
        <v>-0.0917005995916863</v>
      </c>
      <c r="D70" s="14" t="n">
        <f aca="false">Prices!D71/Prices!D70-1</f>
        <v>-0.0385021509879236</v>
      </c>
      <c r="E70" s="14" t="n">
        <f aca="false">Prices!E71/Prices!E70-1</f>
        <v>-0.108560790375444</v>
      </c>
      <c r="F70" s="14" t="n">
        <f aca="false">Prices!F71/Prices!F70-1</f>
        <v>-0.0850490484557019</v>
      </c>
      <c r="G70" s="14" t="n">
        <f aca="false">Prices!G71/Prices!G70-1</f>
        <v>-0.0744889514180496</v>
      </c>
      <c r="H70" s="14" t="n">
        <f aca="false">Prices!H71/Prices!H70-1</f>
        <v>-0.0166199964194834</v>
      </c>
      <c r="I70" s="14" t="n">
        <f aca="false">Prices!I71/Prices!I70-1</f>
        <v>-0.0311657784545109</v>
      </c>
      <c r="J70" s="14" t="n">
        <f aca="false">Prices!J71/Prices!J70-1</f>
        <v>-0.0160595932337136</v>
      </c>
      <c r="K70" s="14" t="n">
        <f aca="false">Prices!K71/Prices!K70-1</f>
        <v>0.000776717632681834</v>
      </c>
      <c r="L70" s="14" t="n">
        <f aca="false">Prices!L71/Prices!L70-1</f>
        <v>-0.0824603865682526</v>
      </c>
      <c r="M70" s="14" t="n">
        <f aca="false">Prices!M71/Prices!M70-1</f>
        <v>-0.015530225504419</v>
      </c>
      <c r="N70" s="14" t="n">
        <f aca="false">Prices!N71/Prices!N70-1</f>
        <v>-0.0553040497315668</v>
      </c>
      <c r="O70" s="19" t="n">
        <f aca="false">Prices!O70/100/12</f>
        <v>0.000966666666666667</v>
      </c>
    </row>
    <row r="71" customFormat="false" ht="15" hidden="false" customHeight="false" outlineLevel="0" collapsed="false">
      <c r="A71" s="17" t="n">
        <f aca="false">Prices!A72</f>
        <v>44773</v>
      </c>
      <c r="B71" s="14" t="n">
        <f aca="false">Prices!B72/Prices!B71-1</f>
        <v>0.0934684137602944</v>
      </c>
      <c r="C71" s="14" t="n">
        <f aca="false">Prices!C72/Prices!C71-1</f>
        <v>0.0529411599916445</v>
      </c>
      <c r="D71" s="14" t="n">
        <f aca="false">Prices!D72/Prices!D71-1</f>
        <v>-0.00792316860569953</v>
      </c>
      <c r="E71" s="14" t="n">
        <f aca="false">Prices!E72/Prices!E71-1</f>
        <v>0.0647498625993659</v>
      </c>
      <c r="F71" s="14" t="n">
        <f aca="false">Prices!F72/Prices!F71-1</f>
        <v>0.061815859011793</v>
      </c>
      <c r="G71" s="14" t="n">
        <f aca="false">Prices!G72/Prices!G71-1</f>
        <v>0.0861597063416513</v>
      </c>
      <c r="H71" s="14" t="n">
        <f aca="false">Prices!H72/Prices!H71-1</f>
        <v>0.0238173932760393</v>
      </c>
      <c r="I71" s="14" t="n">
        <f aca="false">Prices!I72/Prices!I71-1</f>
        <v>0.0442752227369834</v>
      </c>
      <c r="J71" s="14" t="n">
        <f aca="false">Prices!J72/Prices!J71-1</f>
        <v>-0.0250655778179663</v>
      </c>
      <c r="K71" s="14" t="n">
        <f aca="false">Prices!K72/Prices!K71-1</f>
        <v>0.00036099732329542</v>
      </c>
      <c r="L71" s="14" t="n">
        <f aca="false">Prices!L72/Prices!L71-1</f>
        <v>0.0920874041563833</v>
      </c>
      <c r="M71" s="14" t="n">
        <f aca="false">Prices!M72/Prices!M71-1</f>
        <v>0.0253810212143344</v>
      </c>
      <c r="N71" s="14" t="n">
        <f aca="false">Prices!N72/Prices!N71-1</f>
        <v>0.0514457482611586</v>
      </c>
      <c r="O71" s="19" t="n">
        <f aca="false">Prices!O71/100/12</f>
        <v>0.00143333333333333</v>
      </c>
    </row>
    <row r="72" customFormat="false" ht="15" hidden="false" customHeight="false" outlineLevel="0" collapsed="false">
      <c r="A72" s="17" t="n">
        <f aca="false">Prices!A73</f>
        <v>44804</v>
      </c>
      <c r="B72" s="14" t="n">
        <f aca="false">Prices!B73/Prices!B72-1</f>
        <v>-0.0372847870390203</v>
      </c>
      <c r="C72" s="14" t="n">
        <f aca="false">Prices!C73/Prices!C72-1</f>
        <v>-0.0581935266878835</v>
      </c>
      <c r="D72" s="14" t="n">
        <f aca="false">Prices!D73/Prices!D72-1</f>
        <v>-0.00459869406202484</v>
      </c>
      <c r="E72" s="14" t="n">
        <f aca="false">Prices!E73/Prices!E72-1</f>
        <v>0.00612670556982442</v>
      </c>
      <c r="F72" s="14" t="n">
        <f aca="false">Prices!F73/Prices!F72-1</f>
        <v>-0.0103093497623598</v>
      </c>
      <c r="G72" s="14" t="n">
        <f aca="false">Prices!G73/Prices!G72-1</f>
        <v>-0.0601253161629773</v>
      </c>
      <c r="H72" s="14" t="n">
        <f aca="false">Prices!H73/Prices!H72-1</f>
        <v>-0.0279746405511051</v>
      </c>
      <c r="I72" s="14" t="n">
        <f aca="false">Prices!I73/Prices!I72-1</f>
        <v>-0.0267062028142208</v>
      </c>
      <c r="J72" s="14" t="n">
        <f aca="false">Prices!J73/Prices!J72-1</f>
        <v>-0.0295964714619889</v>
      </c>
      <c r="K72" s="14" t="n">
        <f aca="false">Prices!K73/Prices!K72-1</f>
        <v>0.00193716100875663</v>
      </c>
      <c r="L72" s="14" t="n">
        <f aca="false">Prices!L73/Prices!L72-1</f>
        <v>-0.0408021121212803</v>
      </c>
      <c r="M72" s="14" t="n">
        <f aca="false">Prices!M73/Prices!M72-1</f>
        <v>-0.0304229454382385</v>
      </c>
      <c r="N72" s="14" t="n">
        <f aca="false">Prices!N73/Prices!N72-1</f>
        <v>-0.0379242520385132</v>
      </c>
      <c r="O72" s="19" t="n">
        <f aca="false">Prices!O72/100/12</f>
        <v>0.00200833333333333</v>
      </c>
    </row>
    <row r="73" customFormat="false" ht="15" hidden="false" customHeight="false" outlineLevel="0" collapsed="false">
      <c r="A73" s="17" t="n">
        <f aca="false">Prices!A74</f>
        <v>44834</v>
      </c>
      <c r="B73" s="14" t="n">
        <f aca="false">Prices!B74/Prices!B73-1</f>
        <v>-0.0923049962635169</v>
      </c>
      <c r="C73" s="14" t="n">
        <f aca="false">Prices!C74/Prices!C73-1</f>
        <v>-0.0986004945472513</v>
      </c>
      <c r="D73" s="14" t="n">
        <f aca="false">Prices!D74/Prices!D73-1</f>
        <v>-0.100822075481906</v>
      </c>
      <c r="E73" s="14" t="n">
        <f aca="false">Prices!E74/Prices!E73-1</f>
        <v>-0.0753270337391295</v>
      </c>
      <c r="F73" s="14" t="n">
        <f aca="false">Prices!F74/Prices!F73-1</f>
        <v>-0.0692401471526141</v>
      </c>
      <c r="G73" s="14" t="n">
        <f aca="false">Prices!G74/Prices!G73-1</f>
        <v>-0.128713048040131</v>
      </c>
      <c r="H73" s="14" t="n">
        <f aca="false">Prices!H74/Prices!H73-1</f>
        <v>-0.0418298745924851</v>
      </c>
      <c r="I73" s="14" t="n">
        <f aca="false">Prices!I74/Prices!I73-1</f>
        <v>-0.067808561314765</v>
      </c>
      <c r="J73" s="14" t="n">
        <f aca="false">Prices!J74/Prices!J73-1</f>
        <v>-0.0286505862184409</v>
      </c>
      <c r="K73" s="14" t="n">
        <f aca="false">Prices!K74/Prices!K73-1</f>
        <v>0.00206765526963126</v>
      </c>
      <c r="L73" s="14" t="n">
        <f aca="false">Prices!L74/Prices!L73-1</f>
        <v>-0.0924458459657546</v>
      </c>
      <c r="M73" s="14" t="n">
        <f aca="false">Prices!M74/Prices!M73-1</f>
        <v>-0.041450160064243</v>
      </c>
      <c r="N73" s="14" t="n">
        <f aca="false">Prices!N74/Prices!N73-1</f>
        <v>-0.0709543350306771</v>
      </c>
      <c r="O73" s="19" t="n">
        <f aca="false">Prices!O73/100/12</f>
        <v>0.00246666666666667</v>
      </c>
    </row>
    <row r="74" customFormat="false" ht="15" hidden="false" customHeight="false" outlineLevel="0" collapsed="false">
      <c r="A74" s="17" t="n">
        <f aca="false">Prices!A75</f>
        <v>44865</v>
      </c>
      <c r="B74" s="14" t="n">
        <f aca="false">Prices!B75/Prices!B74-1</f>
        <v>0.0811279591621483</v>
      </c>
      <c r="C74" s="14" t="n">
        <f aca="false">Prices!C75/Prices!C74-1</f>
        <v>0.0607814135687426</v>
      </c>
      <c r="D74" s="14" t="n">
        <f aca="false">Prices!D75/Prices!D74-1</f>
        <v>-0.0285011975905412</v>
      </c>
      <c r="E74" s="14" t="n">
        <f aca="false">Prices!E75/Prices!E74-1</f>
        <v>0.0448777575400718</v>
      </c>
      <c r="F74" s="14" t="n">
        <f aca="false">Prices!F75/Prices!F74-1</f>
        <v>0.0329163592255062</v>
      </c>
      <c r="G74" s="14" t="n">
        <f aca="false">Prices!G75/Prices!G74-1</f>
        <v>0.0350504867322436</v>
      </c>
      <c r="H74" s="14" t="n">
        <f aca="false">Prices!H75/Prices!H74-1</f>
        <v>-0.0115775802258188</v>
      </c>
      <c r="I74" s="14" t="n">
        <f aca="false">Prices!I75/Prices!I74-1</f>
        <v>0.0136667847489178</v>
      </c>
      <c r="J74" s="14" t="n">
        <f aca="false">Prices!J75/Prices!J74-1</f>
        <v>-0.0174437355710835</v>
      </c>
      <c r="K74" s="14" t="n">
        <f aca="false">Prices!K75/Prices!K74-1</f>
        <v>0.00158560411353914</v>
      </c>
      <c r="L74" s="14" t="n">
        <f aca="false">Prices!L75/Prices!L74-1</f>
        <v>0.0812757093434156</v>
      </c>
      <c r="M74" s="14" t="n">
        <f aca="false">Prices!M75/Prices!M74-1</f>
        <v>-0.0127850659301797</v>
      </c>
      <c r="N74" s="14" t="n">
        <f aca="false">Prices!N75/Prices!N74-1</f>
        <v>0.0319966929509823</v>
      </c>
      <c r="O74" s="19" t="n">
        <f aca="false">Prices!O74/100/12</f>
        <v>0.002775</v>
      </c>
    </row>
    <row r="75" customFormat="false" ht="15" hidden="false" customHeight="false" outlineLevel="0" collapsed="false">
      <c r="A75" s="17" t="n">
        <f aca="false">Prices!A76</f>
        <v>44895</v>
      </c>
      <c r="B75" s="14" t="n">
        <f aca="false">Prices!B76/Prices!B75-1</f>
        <v>0.0516930136481086</v>
      </c>
      <c r="C75" s="14" t="n">
        <f aca="false">Prices!C76/Prices!C75-1</f>
        <v>0.12548588911265</v>
      </c>
      <c r="D75" s="14" t="n">
        <f aca="false">Prices!D76/Prices!D75-1</f>
        <v>0.143018309251008</v>
      </c>
      <c r="E75" s="14" t="n">
        <f aca="false">Prices!E76/Prices!E75-1</f>
        <v>-0.0795985078403273</v>
      </c>
      <c r="F75" s="14" t="n">
        <f aca="false">Prices!F76/Prices!F75-1</f>
        <v>0.0146591557415046</v>
      </c>
      <c r="G75" s="14" t="n">
        <f aca="false">Prices!G76/Prices!G75-1</f>
        <v>0.0614606536741948</v>
      </c>
      <c r="H75" s="14" t="n">
        <f aca="false">Prices!H76/Prices!H75-1</f>
        <v>0.0366591354066195</v>
      </c>
      <c r="I75" s="14" t="n">
        <f aca="false">Prices!I76/Prices!I75-1</f>
        <v>0.0184703156752624</v>
      </c>
      <c r="J75" s="14" t="n">
        <f aca="false">Prices!J76/Prices!J75-1</f>
        <v>0.0845706262104584</v>
      </c>
      <c r="K75" s="14" t="n">
        <f aca="false">Prices!K76/Prices!K75-1</f>
        <v>0.00315129783728962</v>
      </c>
      <c r="L75" s="14" t="n">
        <f aca="false">Prices!L76/Prices!L75-1</f>
        <v>0.0555913141147275</v>
      </c>
      <c r="M75" s="14" t="n">
        <f aca="false">Prices!M76/Prices!M75-1</f>
        <v>0.0380849964982561</v>
      </c>
      <c r="N75" s="14" t="n">
        <f aca="false">Prices!N76/Prices!N75-1</f>
        <v>0.0688684051129156</v>
      </c>
      <c r="O75" s="19" t="n">
        <f aca="false">Prices!O75/100/12</f>
        <v>0.00351666666666667</v>
      </c>
    </row>
    <row r="76" customFormat="false" ht="15" hidden="false" customHeight="false" outlineLevel="0" collapsed="false">
      <c r="A76" s="17" t="n">
        <f aca="false">Prices!A77</f>
        <v>44926</v>
      </c>
      <c r="B76" s="14" t="n">
        <f aca="false">Prices!B77/Prices!B76-1</f>
        <v>-0.0585526828593651</v>
      </c>
      <c r="C76" s="14" t="n">
        <f aca="false">Prices!C77/Prices!C76-1</f>
        <v>-0.0218247406786264</v>
      </c>
      <c r="D76" s="14" t="n">
        <f aca="false">Prices!D77/Prices!D76-1</f>
        <v>-0.0222924025978034</v>
      </c>
      <c r="E76" s="14" t="n">
        <f aca="false">Prices!E77/Prices!E76-1</f>
        <v>-0.0328869437661152</v>
      </c>
      <c r="F76" s="14" t="n">
        <f aca="false">Prices!F77/Prices!F76-1</f>
        <v>-0.0601857685236076</v>
      </c>
      <c r="G76" s="14" t="n">
        <f aca="false">Prices!G77/Prices!G76-1</f>
        <v>-0.0503436553050923</v>
      </c>
      <c r="H76" s="14" t="n">
        <f aca="false">Prices!H77/Prices!H76-1</f>
        <v>-0.00806061859287277</v>
      </c>
      <c r="I76" s="14" t="n">
        <f aca="false">Prices!I77/Prices!I76-1</f>
        <v>-0.0116296666219285</v>
      </c>
      <c r="J76" s="14" t="n">
        <f aca="false">Prices!J77/Prices!J76-1</f>
        <v>0.0294643469919256</v>
      </c>
      <c r="K76" s="14" t="n">
        <f aca="false">Prices!K77/Prices!K76-1</f>
        <v>0.00362622310359551</v>
      </c>
      <c r="L76" s="14" t="n">
        <f aca="false">Prices!L77/Prices!L76-1</f>
        <v>-0.0576280200353657</v>
      </c>
      <c r="M76" s="14" t="n">
        <f aca="false">Prices!M77/Prices!M76-1</f>
        <v>-0.00870488457288998</v>
      </c>
      <c r="N76" s="14" t="n">
        <f aca="false">Prices!N77/Prices!N76-1</f>
        <v>-0.035039893789226</v>
      </c>
      <c r="O76" s="19" t="n">
        <f aca="false">Prices!O76/100/12</f>
        <v>0.00364166666666667</v>
      </c>
    </row>
    <row r="77" customFormat="false" ht="15" hidden="false" customHeight="false" outlineLevel="0" collapsed="false">
      <c r="A77" s="17" t="n">
        <f aca="false">Prices!A78</f>
        <v>44957</v>
      </c>
      <c r="B77" s="14" t="n">
        <f aca="false">Prices!B78/Prices!B77-1</f>
        <v>0.069250341970041</v>
      </c>
      <c r="C77" s="14" t="n">
        <f aca="false">Prices!C78/Prices!C77-1</f>
        <v>0.0903025876794001</v>
      </c>
      <c r="D77" s="14" t="n">
        <f aca="false">Prices!D78/Prices!D77-1</f>
        <v>0.0833759472451006</v>
      </c>
      <c r="E77" s="14" t="n">
        <f aca="false">Prices!E78/Prices!E77-1</f>
        <v>0.0395013630287302</v>
      </c>
      <c r="F77" s="14" t="n">
        <f aca="false">Prices!F78/Prices!F77-1</f>
        <v>-0.0221029673299469</v>
      </c>
      <c r="G77" s="14" t="n">
        <f aca="false">Prices!G78/Prices!G77-1</f>
        <v>0.104025109841065</v>
      </c>
      <c r="H77" s="14" t="n">
        <f aca="false">Prices!H78/Prices!H77-1</f>
        <v>0.0331291026336762</v>
      </c>
      <c r="I77" s="14" t="n">
        <f aca="false">Prices!I78/Prices!I77-1</f>
        <v>0.0196950573266146</v>
      </c>
      <c r="J77" s="14" t="n">
        <f aca="false">Prices!J78/Prices!J77-1</f>
        <v>0.0578201792425557</v>
      </c>
      <c r="K77" s="14" t="n">
        <f aca="false">Prices!K78/Prices!K77-1</f>
        <v>0.00284218571946826</v>
      </c>
      <c r="L77" s="14" t="n">
        <f aca="false">Prices!L78/Prices!L77-1</f>
        <v>0.062887349499773</v>
      </c>
      <c r="M77" s="14" t="n">
        <f aca="false">Prices!M78/Prices!M77-1</f>
        <v>0.0333022014072963</v>
      </c>
      <c r="N77" s="14" t="n">
        <f aca="false">Prices!N78/Prices!N77-1</f>
        <v>0.0617047761092036</v>
      </c>
      <c r="O77" s="19" t="n">
        <f aca="false">Prices!O77/100/12</f>
        <v>0.00368333333333333</v>
      </c>
    </row>
    <row r="78" customFormat="false" ht="15" hidden="false" customHeight="false" outlineLevel="0" collapsed="false">
      <c r="A78" s="17" t="n">
        <f aca="false">Prices!A79</f>
        <v>44985</v>
      </c>
      <c r="B78" s="14" t="n">
        <f aca="false">Prices!B79/Prices!B78-1</f>
        <v>-0.0240177082013486</v>
      </c>
      <c r="C78" s="14" t="n">
        <f aca="false">Prices!C79/Prices!C78-1</f>
        <v>-0.0347466645228127</v>
      </c>
      <c r="D78" s="14" t="n">
        <f aca="false">Prices!D79/Prices!D78-1</f>
        <v>-0.0665402686769758</v>
      </c>
      <c r="E78" s="14" t="n">
        <f aca="false">Prices!E79/Prices!E78-1</f>
        <v>-0.0747257734111383</v>
      </c>
      <c r="F78" s="14" t="n">
        <f aca="false">Prices!F79/Prices!F78-1</f>
        <v>0.00342448647639726</v>
      </c>
      <c r="G78" s="14" t="n">
        <f aca="false">Prices!G79/Prices!G78-1</f>
        <v>-0.0586423882765782</v>
      </c>
      <c r="H78" s="14" t="n">
        <f aca="false">Prices!H79/Prices!H78-1</f>
        <v>-0.0266597269038102</v>
      </c>
      <c r="I78" s="14" t="n">
        <f aca="false">Prices!I79/Prices!I78-1</f>
        <v>-0.0130657227976758</v>
      </c>
      <c r="J78" s="14" t="n">
        <f aca="false">Prices!J79/Prices!J78-1</f>
        <v>-0.053839874282591</v>
      </c>
      <c r="K78" s="14" t="n">
        <f aca="false">Prices!K79/Prices!K78-1</f>
        <v>0.00345774777532171</v>
      </c>
      <c r="L78" s="14" t="n">
        <f aca="false">Prices!L79/Prices!L78-1</f>
        <v>-0.025142902470175</v>
      </c>
      <c r="M78" s="14" t="n">
        <f aca="false">Prices!M79/Prices!M78-1</f>
        <v>-0.026656566639268</v>
      </c>
      <c r="N78" s="14" t="n">
        <f aca="false">Prices!N79/Prices!N78-1</f>
        <v>-0.0281603401941951</v>
      </c>
      <c r="O78" s="19" t="n">
        <f aca="false">Prices!O78/100/12</f>
        <v>0.00391666666666667</v>
      </c>
    </row>
    <row r="79" customFormat="false" ht="15" hidden="false" customHeight="false" outlineLevel="0" collapsed="false">
      <c r="A79" s="17" t="n">
        <f aca="false">Prices!A80</f>
        <v>45016</v>
      </c>
      <c r="B79" s="14" t="n">
        <f aca="false">Prices!B80/Prices!B79-1</f>
        <v>0.027070851598219</v>
      </c>
      <c r="C79" s="14" t="n">
        <f aca="false">Prices!C80/Prices!C79-1</f>
        <v>0.0264851190625717</v>
      </c>
      <c r="D79" s="14" t="n">
        <f aca="false">Prices!D80/Prices!D79-1</f>
        <v>0.0256017317299828</v>
      </c>
      <c r="E79" s="14" t="n">
        <f aca="false">Prices!E80/Prices!E79-1</f>
        <v>0.0675303170229169</v>
      </c>
      <c r="F79" s="14" t="n">
        <f aca="false">Prices!F80/Prices!F79-1</f>
        <v>-0.0334471330087494</v>
      </c>
      <c r="G79" s="14" t="n">
        <f aca="false">Prices!G80/Prices!G79-1</f>
        <v>-0.0215545175379569</v>
      </c>
      <c r="H79" s="14" t="n">
        <f aca="false">Prices!H80/Prices!H79-1</f>
        <v>0.0267574176590017</v>
      </c>
      <c r="I79" s="14" t="n">
        <f aca="false">Prices!I80/Prices!I79-1</f>
        <v>0.0285877839123232</v>
      </c>
      <c r="J79" s="14" t="n">
        <f aca="false">Prices!J80/Prices!J79-1</f>
        <v>0.0794338555584591</v>
      </c>
      <c r="K79" s="14" t="n">
        <f aca="false">Prices!K80/Prices!K79-1</f>
        <v>0.00399099274648163</v>
      </c>
      <c r="L79" s="14" t="n">
        <f aca="false">Prices!L80/Prices!L79-1</f>
        <v>0.0370778900068145</v>
      </c>
      <c r="M79" s="14" t="n">
        <f aca="false">Prices!M80/Prices!M79-1</f>
        <v>0.0264123213555354</v>
      </c>
      <c r="N79" s="14" t="n">
        <f aca="false">Prices!N80/Prices!N79-1</f>
        <v>0.0281541873425895</v>
      </c>
      <c r="O79" s="19" t="n">
        <f aca="false">Prices!O79/100/12</f>
        <v>0.00406666666666667</v>
      </c>
    </row>
    <row r="80" customFormat="false" ht="15" hidden="false" customHeight="false" outlineLevel="0" collapsed="false">
      <c r="A80" s="17" t="n">
        <f aca="false">Prices!A81</f>
        <v>45046</v>
      </c>
      <c r="B80" s="14" t="n">
        <f aca="false">Prices!B81/Prices!B80-1</f>
        <v>0.0107790799072021</v>
      </c>
      <c r="C80" s="14" t="n">
        <f aca="false">Prices!C81/Prices!C80-1</f>
        <v>0.0263450888176591</v>
      </c>
      <c r="D80" s="14" t="n">
        <f aca="false">Prices!D81/Prices!D80-1</f>
        <v>-0.0039600735945392</v>
      </c>
      <c r="E80" s="14" t="n">
        <f aca="false">Prices!E81/Prices!E80-1</f>
        <v>0.0630002541914319</v>
      </c>
      <c r="F80" s="14" t="n">
        <f aca="false">Prices!F81/Prices!F80-1</f>
        <v>0.091807942552826</v>
      </c>
      <c r="G80" s="14" t="n">
        <f aca="false">Prices!G81/Prices!G80-1</f>
        <v>0.00313114114027391</v>
      </c>
      <c r="H80" s="14" t="n">
        <f aca="false">Prices!H81/Prices!H80-1</f>
        <v>0.00587885125188548</v>
      </c>
      <c r="I80" s="14" t="n">
        <f aca="false">Prices!I81/Prices!I80-1</f>
        <v>0.000299067679553788</v>
      </c>
      <c r="J80" s="14" t="n">
        <f aca="false">Prices!J81/Prices!J80-1</f>
        <v>0.00909820736147204</v>
      </c>
      <c r="K80" s="14" t="n">
        <f aca="false">Prices!K81/Prices!K80-1</f>
        <v>0.00363032408720509</v>
      </c>
      <c r="L80" s="14" t="n">
        <f aca="false">Prices!L81/Prices!L80-1</f>
        <v>0.0159748835396076</v>
      </c>
      <c r="M80" s="14" t="n">
        <f aca="false">Prices!M81/Prices!M80-1</f>
        <v>0.00575535737876942</v>
      </c>
      <c r="N80" s="14" t="n">
        <f aca="false">Prices!N81/Prices!N80-1</f>
        <v>0.0112075294209582</v>
      </c>
      <c r="O80" s="19" t="n">
        <f aca="false">Prices!O80/100/12</f>
        <v>0.00404166666666667</v>
      </c>
    </row>
    <row r="81" customFormat="false" ht="15" hidden="false" customHeight="false" outlineLevel="0" collapsed="false">
      <c r="A81" s="17" t="n">
        <f aca="false">Prices!A82</f>
        <v>45077</v>
      </c>
      <c r="B81" s="14" t="n">
        <f aca="false">Prices!B82/Prices!B81-1</f>
        <v>0.00426555777735493</v>
      </c>
      <c r="C81" s="14" t="n">
        <f aca="false">Prices!C82/Prices!C81-1</f>
        <v>-0.0373165710284982</v>
      </c>
      <c r="D81" s="14" t="n">
        <f aca="false">Prices!D82/Prices!D81-1</f>
        <v>-0.0295727822489734</v>
      </c>
      <c r="E81" s="14" t="n">
        <f aca="false">Prices!E82/Prices!E81-1</f>
        <v>-0.0286616658662122</v>
      </c>
      <c r="F81" s="14" t="n">
        <f aca="false">Prices!F82/Prices!F81-1</f>
        <v>-0.0562741785772484</v>
      </c>
      <c r="G81" s="14" t="n">
        <f aca="false">Prices!G82/Prices!G81-1</f>
        <v>-0.03961606822904</v>
      </c>
      <c r="H81" s="14" t="n">
        <f aca="false">Prices!H82/Prices!H81-1</f>
        <v>-0.0116371596177841</v>
      </c>
      <c r="I81" s="14" t="n">
        <f aca="false">Prices!I82/Prices!I81-1</f>
        <v>-0.0123482118962378</v>
      </c>
      <c r="J81" s="14" t="n">
        <f aca="false">Prices!J82/Prices!J81-1</f>
        <v>-0.0135242114432304</v>
      </c>
      <c r="K81" s="14" t="n">
        <f aca="false">Prices!K82/Prices!K81-1</f>
        <v>0.00375179999459618</v>
      </c>
      <c r="L81" s="14" t="n">
        <f aca="false">Prices!L82/Prices!L81-1</f>
        <v>0.00461639850977536</v>
      </c>
      <c r="M81" s="14" t="n">
        <f aca="false">Prices!M82/Prices!M81-1</f>
        <v>-0.0114430322950461</v>
      </c>
      <c r="N81" s="14" t="n">
        <f aca="false">Prices!N82/Prices!N81-1</f>
        <v>-0.0115103271557787</v>
      </c>
      <c r="O81" s="19" t="n">
        <f aca="false">Prices!O81/100/12</f>
        <v>0.00425</v>
      </c>
    </row>
    <row r="82" customFormat="false" ht="15" hidden="false" customHeight="false" outlineLevel="0" collapsed="false">
      <c r="A82" s="17" t="n">
        <f aca="false">Prices!A83</f>
        <v>45107</v>
      </c>
      <c r="B82" s="14" t="n">
        <f aca="false">Prices!B83/Prices!B82-1</f>
        <v>0.0672870798979202</v>
      </c>
      <c r="C82" s="14" t="n">
        <f aca="false">Prices!C83/Prices!C82-1</f>
        <v>0.0442897447101738</v>
      </c>
      <c r="D82" s="14" t="n">
        <f aca="false">Prices!D83/Prices!D82-1</f>
        <v>0.0474105012516313</v>
      </c>
      <c r="E82" s="14" t="n">
        <f aca="false">Prices!E83/Prices!E82-1</f>
        <v>0.0458678661758103</v>
      </c>
      <c r="F82" s="14" t="n">
        <f aca="false">Prices!F83/Prices!F82-1</f>
        <v>0.0314005672088975</v>
      </c>
      <c r="G82" s="14" t="n">
        <f aca="false">Prices!G83/Prices!G82-1</f>
        <v>0.0562943723045668</v>
      </c>
      <c r="H82" s="14" t="n">
        <f aca="false">Prices!H83/Prices!H82-1</f>
        <v>-0.0022372853228515</v>
      </c>
      <c r="I82" s="14" t="n">
        <f aca="false">Prices!I83/Prices!I82-1</f>
        <v>-0.00215028765604863</v>
      </c>
      <c r="J82" s="14" t="n">
        <f aca="false">Prices!J83/Prices!J82-1</f>
        <v>-0.0217742467264986</v>
      </c>
      <c r="K82" s="14" t="n">
        <f aca="false">Prices!K83/Prices!K82-1</f>
        <v>0.00460628854627743</v>
      </c>
      <c r="L82" s="14" t="n">
        <f aca="false">Prices!L83/Prices!L82-1</f>
        <v>0.0647997491337053</v>
      </c>
      <c r="M82" s="14" t="n">
        <f aca="false">Prices!M83/Prices!M82-1</f>
        <v>-0.00368254497240261</v>
      </c>
      <c r="N82" s="14" t="n">
        <f aca="false">Prices!N83/Prices!N82-1</f>
        <v>0.0329253154226281</v>
      </c>
      <c r="O82" s="19" t="n">
        <f aca="false">Prices!O82/100/12</f>
        <v>0.0046</v>
      </c>
    </row>
    <row r="83" customFormat="false" ht="15" hidden="false" customHeight="false" outlineLevel="0" collapsed="false">
      <c r="A83" s="17" t="n">
        <f aca="false">Prices!A84</f>
        <v>45138</v>
      </c>
      <c r="B83" s="14" t="n">
        <f aca="false">Prices!B84/Prices!B83-1</f>
        <v>0.036635317718978</v>
      </c>
      <c r="C83" s="14" t="n">
        <f aca="false">Prices!C84/Prices!C83-1</f>
        <v>0.0313989554086034</v>
      </c>
      <c r="D83" s="14" t="n">
        <f aca="false">Prices!D84/Prices!D83-1</f>
        <v>0.0587512053124224</v>
      </c>
      <c r="E83" s="14" t="n">
        <f aca="false">Prices!E84/Prices!E83-1</f>
        <v>0.0179044023632635</v>
      </c>
      <c r="F83" s="14" t="n">
        <f aca="false">Prices!F84/Prices!F83-1</f>
        <v>0.0491469090427918</v>
      </c>
      <c r="G83" s="14" t="n">
        <f aca="false">Prices!G84/Prices!G83-1</f>
        <v>0.0203450495410693</v>
      </c>
      <c r="H83" s="14" t="n">
        <f aca="false">Prices!H84/Prices!H83-1</f>
        <v>-0.00118655374368915</v>
      </c>
      <c r="I83" s="14" t="n">
        <f aca="false">Prices!I84/Prices!I83-1</f>
        <v>0.000478645348384932</v>
      </c>
      <c r="J83" s="14" t="n">
        <f aca="false">Prices!J84/Prices!J83-1</f>
        <v>0.022258917896645</v>
      </c>
      <c r="K83" s="14" t="n">
        <f aca="false">Prices!K84/Prices!K83-1</f>
        <v>0.00386029248050823</v>
      </c>
      <c r="L83" s="14" t="n">
        <f aca="false">Prices!L84/Prices!L83-1</f>
        <v>0.0327332298087817</v>
      </c>
      <c r="M83" s="14" t="n">
        <f aca="false">Prices!M84/Prices!M83-1</f>
        <v>-0.000153270762997981</v>
      </c>
      <c r="N83" s="14" t="n">
        <f aca="false">Prices!N84/Prices!N83-1</f>
        <v>0.0222361634885224</v>
      </c>
      <c r="O83" s="19" t="n">
        <f aca="false">Prices!O83/100/12</f>
        <v>0.004525</v>
      </c>
    </row>
    <row r="84" customFormat="false" ht="15" hidden="false" customHeight="false" outlineLevel="0" collapsed="false">
      <c r="A84" s="17" t="n">
        <f aca="false">Prices!A85</f>
        <v>45169</v>
      </c>
      <c r="B84" s="14" t="n">
        <f aca="false">Prices!B85/Prices!B84-1</f>
        <v>-0.0193125737006484</v>
      </c>
      <c r="C84" s="14" t="n">
        <f aca="false">Prices!C85/Prices!C84-1</f>
        <v>-0.0394709512917137</v>
      </c>
      <c r="D84" s="14" t="n">
        <f aca="false">Prices!D85/Prices!D84-1</f>
        <v>-0.0589737933053953</v>
      </c>
      <c r="E84" s="14" t="n">
        <f aca="false">Prices!E85/Prices!E84-1</f>
        <v>-0.0278107358467771</v>
      </c>
      <c r="F84" s="14" t="n">
        <f aca="false">Prices!F85/Prices!F84-1</f>
        <v>-0.0221211187832147</v>
      </c>
      <c r="G84" s="14" t="n">
        <f aca="false">Prices!G85/Prices!G84-1</f>
        <v>-0.0337790424760324</v>
      </c>
      <c r="H84" s="14" t="n">
        <f aca="false">Prices!H85/Prices!H84-1</f>
        <v>-0.0066038895960866</v>
      </c>
      <c r="I84" s="14" t="n">
        <f aca="false">Prices!I85/Prices!I84-1</f>
        <v>-0.00820109565436822</v>
      </c>
      <c r="J84" s="14" t="n">
        <f aca="false">Prices!J85/Prices!J84-1</f>
        <v>-0.012096800750086</v>
      </c>
      <c r="K84" s="14" t="n">
        <f aca="false">Prices!K85/Prices!K84-1</f>
        <v>0.00496674117919382</v>
      </c>
      <c r="L84" s="14" t="n">
        <f aca="false">Prices!L85/Prices!L84-1</f>
        <v>-0.0162519279937801</v>
      </c>
      <c r="M84" s="14" t="n">
        <f aca="false">Prices!M85/Prices!M84-1</f>
        <v>-0.00631307841020434</v>
      </c>
      <c r="N84" s="14" t="n">
        <f aca="false">Prices!N85/Prices!N84-1</f>
        <v>-0.0193488666284819</v>
      </c>
      <c r="O84" s="19" t="n">
        <f aca="false">Prices!O84/100/12</f>
        <v>0.004625</v>
      </c>
    </row>
    <row r="85" customFormat="false" ht="15" hidden="false" customHeight="false" outlineLevel="0" collapsed="false">
      <c r="A85" s="17" t="n">
        <f aca="false">Prices!A86</f>
        <v>45199</v>
      </c>
      <c r="B85" s="14" t="n">
        <f aca="false">Prices!B86/Prices!B85-1</f>
        <v>-0.0480107150573009</v>
      </c>
      <c r="C85" s="14" t="n">
        <f aca="false">Prices!C86/Prices!C85-1</f>
        <v>-0.0378476663329075</v>
      </c>
      <c r="D85" s="14" t="n">
        <f aca="false">Prices!D86/Prices!D85-1</f>
        <v>-0.0246773588227883</v>
      </c>
      <c r="E85" s="14" t="n">
        <f aca="false">Prices!E86/Prices!E85-1</f>
        <v>-0.0528115735822706</v>
      </c>
      <c r="F85" s="14" t="n">
        <f aca="false">Prices!F86/Prices!F85-1</f>
        <v>0.017298836611426</v>
      </c>
      <c r="G85" s="14" t="n">
        <f aca="false">Prices!G86/Prices!G85-1</f>
        <v>-0.0726374761666464</v>
      </c>
      <c r="H85" s="14" t="n">
        <f aca="false">Prices!H86/Prices!H85-1</f>
        <v>-0.0247920006041661</v>
      </c>
      <c r="I85" s="14" t="n">
        <f aca="false">Prices!I86/Prices!I85-1</f>
        <v>-0.0192116115576882</v>
      </c>
      <c r="J85" s="14" t="n">
        <f aca="false">Prices!J86/Prices!J85-1</f>
        <v>-0.0478911020408164</v>
      </c>
      <c r="K85" s="14" t="n">
        <f aca="false">Prices!K86/Prices!K85-1</f>
        <v>0.00399114355886687</v>
      </c>
      <c r="L85" s="14" t="n">
        <f aca="false">Prices!L86/Prices!L85-1</f>
        <v>-0.047434571726128</v>
      </c>
      <c r="M85" s="14" t="n">
        <f aca="false">Prices!M86/Prices!M85-1</f>
        <v>-0.0258958875768851</v>
      </c>
      <c r="N85" s="14" t="n">
        <f aca="false">Prices!N86/Prices!N85-1</f>
        <v>-0.0347723379786491</v>
      </c>
      <c r="O85" s="19" t="n">
        <f aca="false">Prices!O85/100/12</f>
        <v>0.00463333333333333</v>
      </c>
    </row>
    <row r="86" customFormat="false" ht="15" hidden="false" customHeight="false" outlineLevel="0" collapsed="false">
      <c r="A86" s="17" t="n">
        <f aca="false">Prices!A87</f>
        <v>45230</v>
      </c>
      <c r="B86" s="14" t="n">
        <f aca="false">Prices!B87/Prices!B86-1</f>
        <v>-0.0264582235531116</v>
      </c>
      <c r="C86" s="14" t="n">
        <f aca="false">Prices!C87/Prices!C86-1</f>
        <v>-0.0338518274833785</v>
      </c>
      <c r="D86" s="14" t="n">
        <f aca="false">Prices!D87/Prices!D86-1</f>
        <v>-0.0323895883537811</v>
      </c>
      <c r="E86" s="14" t="n">
        <f aca="false">Prices!E87/Prices!E86-1</f>
        <v>-0.0219412071357655</v>
      </c>
      <c r="F86" s="14" t="n">
        <f aca="false">Prices!F87/Prices!F86-1</f>
        <v>-0.0974493357016354</v>
      </c>
      <c r="G86" s="14" t="n">
        <f aca="false">Prices!G87/Prices!G86-1</f>
        <v>-0.0362149119646726</v>
      </c>
      <c r="H86" s="14" t="n">
        <f aca="false">Prices!H87/Prices!H86-1</f>
        <v>-0.01520404643638</v>
      </c>
      <c r="I86" s="14" t="n">
        <f aca="false">Prices!I87/Prices!I86-1</f>
        <v>-0.00677122374248707</v>
      </c>
      <c r="J86" s="14" t="n">
        <f aca="false">Prices!J87/Prices!J86-1</f>
        <v>0.0743068834348739</v>
      </c>
      <c r="K86" s="14" t="n">
        <f aca="false">Prices!K87/Prices!K86-1</f>
        <v>0.00430956800776339</v>
      </c>
      <c r="L86" s="14" t="n">
        <f aca="false">Prices!L87/Prices!L86-1</f>
        <v>-0.0217084586041235</v>
      </c>
      <c r="M86" s="14" t="n">
        <f aca="false">Prices!M87/Prices!M86-1</f>
        <v>-0.0157068537634328</v>
      </c>
      <c r="N86" s="14" t="n">
        <f aca="false">Prices!N87/Prices!N86-1</f>
        <v>-0.0220896243518309</v>
      </c>
      <c r="O86" s="19" t="n">
        <f aca="false">Prices!O86/100/12</f>
        <v>0.004625</v>
      </c>
    </row>
    <row r="87" customFormat="false" ht="15" hidden="false" customHeight="false" outlineLevel="0" collapsed="false">
      <c r="A87" s="17" t="n">
        <f aca="false">Prices!A88</f>
        <v>45260</v>
      </c>
      <c r="B87" s="14" t="n">
        <f aca="false">Prices!B88/Prices!B87-1</f>
        <v>0.0941532524353743</v>
      </c>
      <c r="C87" s="14" t="n">
        <f aca="false">Prices!C88/Prices!C87-1</f>
        <v>0.0880681238003034</v>
      </c>
      <c r="D87" s="14" t="n">
        <f aca="false">Prices!D88/Prices!D87-1</f>
        <v>0.0709015286837362</v>
      </c>
      <c r="E87" s="14" t="n">
        <f aca="false">Prices!E88/Prices!E87-1</f>
        <v>0.0451306012856147</v>
      </c>
      <c r="F87" s="14" t="n">
        <f aca="false">Prices!F88/Prices!F87-1</f>
        <v>0.0739130645262796</v>
      </c>
      <c r="G87" s="14" t="n">
        <f aca="false">Prices!G88/Prices!G87-1</f>
        <v>0.120817268886682</v>
      </c>
      <c r="H87" s="14" t="n">
        <f aca="false">Prices!H88/Prices!H87-1</f>
        <v>0.04541411144463</v>
      </c>
      <c r="I87" s="14" t="n">
        <f aca="false">Prices!I88/Prices!I87-1</f>
        <v>0.0279309095978613</v>
      </c>
      <c r="J87" s="14" t="n">
        <f aca="false">Prices!J88/Prices!J87-1</f>
        <v>0.0252727055067836</v>
      </c>
      <c r="K87" s="14" t="n">
        <f aca="false">Prices!K88/Prices!K87-1</f>
        <v>0.00468198819591659</v>
      </c>
      <c r="L87" s="14" t="n">
        <f aca="false">Prices!L88/Prices!L87-1</f>
        <v>0.0913437456668267</v>
      </c>
      <c r="M87" s="14" t="n">
        <f aca="false">Prices!M88/Prices!M87-1</f>
        <v>0.0459291130352237</v>
      </c>
      <c r="N87" s="14" t="n">
        <f aca="false">Prices!N88/Prices!N87-1</f>
        <v>0.0686072461856597</v>
      </c>
      <c r="O87" s="19" t="n">
        <f aca="false">Prices!O87/100/12</f>
        <v>0.00465833333333333</v>
      </c>
    </row>
    <row r="88" customFormat="false" ht="15" hidden="false" customHeight="false" outlineLevel="0" collapsed="false">
      <c r="A88" s="17" t="n">
        <f aca="false">Prices!A89</f>
        <v>45291</v>
      </c>
      <c r="B88" s="14" t="n">
        <f aca="false">Prices!B89/Prices!B88-1</f>
        <v>0.0529388684828782</v>
      </c>
      <c r="C88" s="14" t="n">
        <f aca="false">Prices!C89/Prices!C88-1</f>
        <v>0.0558857181381307</v>
      </c>
      <c r="D88" s="14" t="n">
        <f aca="false">Prices!D89/Prices!D88-1</f>
        <v>0.0333311719472116</v>
      </c>
      <c r="E88" s="14" t="n">
        <f aca="false">Prices!E89/Prices!E88-1</f>
        <v>0.0829267970108114</v>
      </c>
      <c r="F88" s="14" t="n">
        <f aca="false">Prices!F89/Prices!F88-1</f>
        <v>0.0092190217725574</v>
      </c>
      <c r="G88" s="14" t="n">
        <f aca="false">Prices!G89/Prices!G88-1</f>
        <v>0.0944536608421231</v>
      </c>
      <c r="H88" s="14" t="n">
        <f aca="false">Prices!H89/Prices!H88-1</f>
        <v>0.0355527335809958</v>
      </c>
      <c r="I88" s="14" t="n">
        <f aca="false">Prices!I89/Prices!I88-1</f>
        <v>0.0247825892420892</v>
      </c>
      <c r="J88" s="14" t="n">
        <f aca="false">Prices!J89/Prices!J88-1</f>
        <v>0.0127140110868187</v>
      </c>
      <c r="K88" s="14" t="n">
        <f aca="false">Prices!K89/Prices!K88-1</f>
        <v>0.00427503362366544</v>
      </c>
      <c r="L88" s="14" t="n">
        <f aca="false">Prices!L89/Prices!L88-1</f>
        <v>0.0456552633172713</v>
      </c>
      <c r="M88" s="14" t="n">
        <f aca="false">Prices!M89/Prices!M88-1</f>
        <v>0.0369767521966347</v>
      </c>
      <c r="N88" s="14" t="n">
        <f aca="false">Prices!N89/Prices!N88-1</f>
        <v>0.0450798708410976</v>
      </c>
      <c r="O88" s="19" t="n">
        <f aca="false">Prices!O88/100/12</f>
        <v>0.00454166666666667</v>
      </c>
    </row>
    <row r="89" customFormat="false" ht="15" hidden="false" customHeight="false" outlineLevel="0" collapsed="false">
      <c r="A89" s="17" t="n">
        <f aca="false">Prices!A90</f>
        <v>45322</v>
      </c>
      <c r="B89" s="14" t="n">
        <f aca="false">Prices!B90/Prices!B89-1</f>
        <v>0.0111710300609185</v>
      </c>
      <c r="C89" s="14" t="n">
        <f aca="false">Prices!C90/Prices!C89-1</f>
        <v>-0.0108559808162709</v>
      </c>
      <c r="D89" s="14" t="n">
        <f aca="false">Prices!D90/Prices!D89-1</f>
        <v>-0.0355229308280867</v>
      </c>
      <c r="E89" s="14" t="n">
        <f aca="false">Prices!E90/Prices!E89-1</f>
        <v>-0.0160642252191385</v>
      </c>
      <c r="F89" s="14" t="n">
        <f aca="false">Prices!F90/Prices!F89-1</f>
        <v>-0.00807522125568727</v>
      </c>
      <c r="G89" s="14" t="n">
        <f aca="false">Prices!G90/Prices!G89-1</f>
        <v>-0.0505886715277506</v>
      </c>
      <c r="H89" s="14" t="n">
        <f aca="false">Prices!H90/Prices!H89-1</f>
        <v>-0.00163131242399894</v>
      </c>
      <c r="I89" s="14" t="n">
        <f aca="false">Prices!I90/Prices!I89-1</f>
        <v>0.00306486879056589</v>
      </c>
      <c r="J89" s="14" t="n">
        <f aca="false">Prices!J90/Prices!J89-1</f>
        <v>-0.0138354346358041</v>
      </c>
      <c r="K89" s="14" t="n">
        <f aca="false">Prices!K90/Prices!K89-1</f>
        <v>0.00426734663916073</v>
      </c>
      <c r="L89" s="14" t="n">
        <f aca="false">Prices!L90/Prices!L89-1</f>
        <v>0.0159265513860662</v>
      </c>
      <c r="M89" s="14" t="n">
        <f aca="false">Prices!M90/Prices!M89-1</f>
        <v>-0.00151158715945698</v>
      </c>
      <c r="N89" s="14" t="n">
        <f aca="false">Prices!N90/Prices!N89-1</f>
        <v>-0.000187992674193782</v>
      </c>
      <c r="O89" s="19" t="n">
        <f aca="false">Prices!O89/100/12</f>
        <v>0.0045</v>
      </c>
    </row>
    <row r="90" customFormat="false" ht="15" hidden="false" customHeight="false" outlineLevel="0" collapsed="false">
      <c r="A90" s="17" t="n">
        <f aca="false">Prices!A91</f>
        <v>45351</v>
      </c>
      <c r="B90" s="14" t="n">
        <f aca="false">Prices!B91/Prices!B90-1</f>
        <v>0.0529870230225042</v>
      </c>
      <c r="C90" s="14" t="n">
        <f aca="false">Prices!C91/Prices!C90-1</f>
        <v>0.0274377139535618</v>
      </c>
      <c r="D90" s="14" t="n">
        <f aca="false">Prices!D91/Prices!D90-1</f>
        <v>0.0348131790428499</v>
      </c>
      <c r="E90" s="14" t="n">
        <f aca="false">Prices!E91/Prices!E90-1</f>
        <v>0.0679471391262518</v>
      </c>
      <c r="F90" s="14" t="n">
        <f aca="false">Prices!F91/Prices!F90-1</f>
        <v>-0.0122117091088325</v>
      </c>
      <c r="G90" s="14" t="n">
        <f aca="false">Prices!G91/Prices!G90-1</f>
        <v>0.0197879701661234</v>
      </c>
      <c r="H90" s="14" t="n">
        <f aca="false">Prices!H91/Prices!H90-1</f>
        <v>-0.0136309192167469</v>
      </c>
      <c r="I90" s="14" t="n">
        <f aca="false">Prices!I91/Prices!I90-1</f>
        <v>-0.0108859219849603</v>
      </c>
      <c r="J90" s="14" t="n">
        <f aca="false">Prices!J91/Prices!J90-1</f>
        <v>0.00415692366033138</v>
      </c>
      <c r="K90" s="14" t="n">
        <f aca="false">Prices!K91/Prices!K90-1</f>
        <v>0.00444313753875614</v>
      </c>
      <c r="L90" s="14" t="n">
        <f aca="false">Prices!L91/Prices!L90-1</f>
        <v>0.0521868620317028</v>
      </c>
      <c r="M90" s="14" t="n">
        <f aca="false">Prices!M91/Prices!M90-1</f>
        <v>-0.0147456278903638</v>
      </c>
      <c r="N90" s="14" t="n">
        <f aca="false">Prices!N91/Prices!N90-1</f>
        <v>0.0223768472422068</v>
      </c>
      <c r="O90" s="19" t="n">
        <f aca="false">Prices!O90/100/12</f>
        <v>0.00451666666666667</v>
      </c>
    </row>
    <row r="91" customFormat="false" ht="15" hidden="false" customHeight="false" outlineLevel="0" collapsed="false">
      <c r="A91" s="17" t="n">
        <f aca="false">Prices!A92</f>
        <v>45382</v>
      </c>
      <c r="B91" s="14" t="n">
        <f aca="false">Prices!B92/Prices!B91-1</f>
        <v>0.032597024713344</v>
      </c>
      <c r="C91" s="14" t="n">
        <f aca="false">Prices!C92/Prices!C91-1</f>
        <v>0.0365842322780896</v>
      </c>
      <c r="D91" s="14" t="n">
        <f aca="false">Prices!D92/Prices!D91-1</f>
        <v>0.0192356904719524</v>
      </c>
      <c r="E91" s="14" t="n">
        <f aca="false">Prices!E92/Prices!E91-1</f>
        <v>-0.00719424040607675</v>
      </c>
      <c r="F91" s="14" t="n">
        <f aca="false">Prices!F92/Prices!F91-1</f>
        <v>0.0157966228463962</v>
      </c>
      <c r="G91" s="14" t="n">
        <f aca="false">Prices!G92/Prices!G91-1</f>
        <v>0.0195102607839186</v>
      </c>
      <c r="H91" s="14" t="n">
        <f aca="false">Prices!H92/Prices!H91-1</f>
        <v>0.00849814027432916</v>
      </c>
      <c r="I91" s="14" t="n">
        <f aca="false">Prices!I92/Prices!I91-1</f>
        <v>0.00714418579459419</v>
      </c>
      <c r="J91" s="14" t="n">
        <f aca="false">Prices!J92/Prices!J91-1</f>
        <v>0.0869339152944935</v>
      </c>
      <c r="K91" s="14" t="n">
        <f aca="false">Prices!K92/Prices!K91-1</f>
        <v>0.00410167834134256</v>
      </c>
      <c r="L91" s="14" t="n">
        <f aca="false">Prices!L92/Prices!L91-1</f>
        <v>0.0327019037898288</v>
      </c>
      <c r="M91" s="14" t="n">
        <f aca="false">Prices!M92/Prices!M91-1</f>
        <v>0.00902494210120985</v>
      </c>
      <c r="N91" s="14" t="n">
        <f aca="false">Prices!N92/Prices!N91-1</f>
        <v>0.0239101420569774</v>
      </c>
      <c r="O91" s="19" t="n">
        <f aca="false">Prices!O91/100/12</f>
        <v>0.00454166666666667</v>
      </c>
    </row>
    <row r="92" customFormat="false" ht="15" hidden="false" customHeight="false" outlineLevel="0" collapsed="false">
      <c r="A92" s="17" t="n">
        <f aca="false">Prices!A93</f>
        <v>45412</v>
      </c>
      <c r="B92" s="14" t="n">
        <f aca="false">Prices!B93/Prices!B92-1</f>
        <v>-0.0434396721890373</v>
      </c>
      <c r="C92" s="14" t="n">
        <f aca="false">Prices!C93/Prices!C92-1</f>
        <v>-0.034084097323657</v>
      </c>
      <c r="D92" s="14" t="n">
        <f aca="false">Prices!D93/Prices!D92-1</f>
        <v>0.00957628976056069</v>
      </c>
      <c r="E92" s="14" t="n">
        <f aca="false">Prices!E93/Prices!E92-1</f>
        <v>-0.02581522823922</v>
      </c>
      <c r="F92" s="14" t="n">
        <f aca="false">Prices!F93/Prices!F92-1</f>
        <v>-0.0311020922050119</v>
      </c>
      <c r="G92" s="14" t="n">
        <f aca="false">Prices!G93/Prices!G92-1</f>
        <v>-0.0794403558200651</v>
      </c>
      <c r="H92" s="14" t="n">
        <f aca="false">Prices!H93/Prices!H92-1</f>
        <v>-0.0240839571658216</v>
      </c>
      <c r="I92" s="14" t="n">
        <f aca="false">Prices!I93/Prices!I92-1</f>
        <v>-0.0163965959021911</v>
      </c>
      <c r="J92" s="14" t="n">
        <f aca="false">Prices!J93/Prices!J92-1</f>
        <v>0.03070699979562</v>
      </c>
      <c r="K92" s="14" t="n">
        <f aca="false">Prices!K93/Prices!K92-1</f>
        <v>0.00432207703705112</v>
      </c>
      <c r="L92" s="14" t="n">
        <f aca="false">Prices!L93/Prices!L92-1</f>
        <v>-0.0403196810818859</v>
      </c>
      <c r="M92" s="14" t="n">
        <f aca="false">Prices!M93/Prices!M92-1</f>
        <v>-0.024782485689103</v>
      </c>
      <c r="N92" s="14" t="n">
        <f aca="false">Prices!N93/Prices!N92-1</f>
        <v>-0.0300851294277061</v>
      </c>
      <c r="O92" s="19" t="n">
        <f aca="false">Prices!O92/100/12</f>
        <v>0.00455</v>
      </c>
    </row>
    <row r="93" customFormat="false" ht="15" hidden="false" customHeight="false" outlineLevel="0" collapsed="false">
      <c r="A93" s="17" t="n">
        <f aca="false">Prices!A94</f>
        <v>45443</v>
      </c>
      <c r="B93" s="14" t="n">
        <f aca="false">Prices!B94/Prices!B93-1</f>
        <v>0.0475843352240188</v>
      </c>
      <c r="C93" s="14" t="n">
        <f aca="false">Prices!C94/Prices!C93-1</f>
        <v>0.0466365150218466</v>
      </c>
      <c r="D93" s="14" t="n">
        <f aca="false">Prices!D94/Prices!D93-1</f>
        <v>0.0215793624772667</v>
      </c>
      <c r="E93" s="14" t="n">
        <f aca="false">Prices!E94/Prices!E93-1</f>
        <v>-0.0676429515399454</v>
      </c>
      <c r="F93" s="14" t="n">
        <f aca="false">Prices!F94/Prices!F93-1</f>
        <v>-0.0327984063827593</v>
      </c>
      <c r="G93" s="14" t="n">
        <f aca="false">Prices!G94/Prices!G93-1</f>
        <v>0.0455973269147472</v>
      </c>
      <c r="H93" s="14" t="n">
        <f aca="false">Prices!H94/Prices!H93-1</f>
        <v>0.016805047085142</v>
      </c>
      <c r="I93" s="14" t="n">
        <f aca="false">Prices!I94/Prices!I93-1</f>
        <v>0.0176003007789516</v>
      </c>
      <c r="J93" s="14" t="n">
        <f aca="false">Prices!J94/Prices!J93-1</f>
        <v>0.015935404525067</v>
      </c>
      <c r="K93" s="14" t="n">
        <f aca="false">Prices!K94/Prices!K93-1</f>
        <v>0.00457348872998375</v>
      </c>
      <c r="L93" s="14" t="n">
        <f aca="false">Prices!L94/Prices!L93-1</f>
        <v>0.0505798968114095</v>
      </c>
      <c r="M93" s="14" t="n">
        <f aca="false">Prices!M94/Prices!M93-1</f>
        <v>0.0166957909633705</v>
      </c>
      <c r="N93" s="14" t="n">
        <f aca="false">Prices!N94/Prices!N93-1</f>
        <v>0.0345854649745538</v>
      </c>
      <c r="O93" s="19" t="n">
        <f aca="false">Prices!O93/100/12</f>
        <v>0.00455</v>
      </c>
    </row>
    <row r="94" customFormat="false" ht="15" hidden="false" customHeight="false" outlineLevel="0" collapsed="false">
      <c r="A94" s="17" t="n">
        <f aca="false">Prices!A95</f>
        <v>45473</v>
      </c>
      <c r="B94" s="14" t="n">
        <f aca="false">Prices!B95/Prices!B94-1</f>
        <v>0.0307895663667532</v>
      </c>
      <c r="C94" s="14" t="n">
        <f aca="false">Prices!C95/Prices!C94-1</f>
        <v>-0.0165416857135138</v>
      </c>
      <c r="D94" s="14" t="n">
        <f aca="false">Prices!D95/Prices!D94-1</f>
        <v>0.0197002183648305</v>
      </c>
      <c r="E94" s="14" t="n">
        <f aca="false">Prices!E95/Prices!E94-1</f>
        <v>0.0278618654902492</v>
      </c>
      <c r="F94" s="14" t="n">
        <f aca="false">Prices!F95/Prices!F94-1</f>
        <v>0.0311189076263914</v>
      </c>
      <c r="G94" s="14" t="n">
        <f aca="false">Prices!G95/Prices!G94-1</f>
        <v>0.0187558072153233</v>
      </c>
      <c r="H94" s="14" t="n">
        <f aca="false">Prices!H95/Prices!H94-1</f>
        <v>0.00880699370597671</v>
      </c>
      <c r="I94" s="14" t="n">
        <f aca="false">Prices!I95/Prices!I94-1</f>
        <v>0.00737951368075218</v>
      </c>
      <c r="J94" s="14" t="n">
        <f aca="false">Prices!J95/Prices!J94-1</f>
        <v>-0.00136399175430812</v>
      </c>
      <c r="K94" s="14" t="n">
        <f aca="false">Prices!K95/Prices!K94-1</f>
        <v>0.00399212172300723</v>
      </c>
      <c r="L94" s="14" t="n">
        <f aca="false">Prices!L95/Prices!L94-1</f>
        <v>0.0352800026545084</v>
      </c>
      <c r="M94" s="14" t="n">
        <f aca="false">Prices!M95/Prices!M94-1</f>
        <v>0.00885446269253487</v>
      </c>
      <c r="N94" s="14" t="n">
        <f aca="false">Prices!N95/Prices!N94-1</f>
        <v>0.0122215004421495</v>
      </c>
      <c r="O94" s="19" t="n">
        <f aca="false">Prices!O94/100/12</f>
        <v>0.00455</v>
      </c>
    </row>
    <row r="95" customFormat="false" ht="15" hidden="false" customHeight="false" outlineLevel="0" collapsed="false">
      <c r="A95" s="17" t="n">
        <f aca="false">Prices!A96</f>
        <v>45504</v>
      </c>
      <c r="B95" s="14" t="n">
        <f aca="false">Prices!B96/Prices!B95-1</f>
        <v>0.0189150987626487</v>
      </c>
      <c r="C95" s="14" t="n">
        <f aca="false">Prices!C96/Prices!C95-1</f>
        <v>0.0301496993384613</v>
      </c>
      <c r="D95" s="14" t="n">
        <f aca="false">Prices!D96/Prices!D95-1</f>
        <v>0.012111501920822</v>
      </c>
      <c r="E95" s="14" t="n">
        <f aca="false">Prices!E96/Prices!E95-1</f>
        <v>0.0364353722059185</v>
      </c>
      <c r="F95" s="14" t="n">
        <f aca="false">Prices!F96/Prices!F95-1</f>
        <v>0.0618181560556133</v>
      </c>
      <c r="G95" s="14" t="n">
        <f aca="false">Prices!G96/Prices!G95-1</f>
        <v>0.079393570876471</v>
      </c>
      <c r="H95" s="14" t="n">
        <f aca="false">Prices!H96/Prices!H95-1</f>
        <v>0.0235420412110672</v>
      </c>
      <c r="I95" s="14" t="n">
        <f aca="false">Prices!I96/Prices!I95-1</f>
        <v>0.0179674444740423</v>
      </c>
      <c r="J95" s="14" t="n">
        <f aca="false">Prices!J96/Prices!J95-1</f>
        <v>0.0539494422945594</v>
      </c>
      <c r="K95" s="14" t="n">
        <f aca="false">Prices!K96/Prices!K95-1</f>
        <v>0.0045087481811974</v>
      </c>
      <c r="L95" s="14" t="n">
        <f aca="false">Prices!L96/Prices!L95-1</f>
        <v>0.012109145821992</v>
      </c>
      <c r="M95" s="14" t="n">
        <f aca="false">Prices!M96/Prices!M95-1</f>
        <v>0.0241920967574163</v>
      </c>
      <c r="N95" s="14" t="n">
        <f aca="false">Prices!N96/Prices!N95-1</f>
        <v>0.0210128875085425</v>
      </c>
      <c r="O95" s="19" t="n">
        <f aca="false">Prices!O95/100/12</f>
        <v>0.00456666666666667</v>
      </c>
    </row>
    <row r="96" customFormat="false" ht="15" hidden="false" customHeight="false" outlineLevel="0" collapsed="false">
      <c r="A96" s="17" t="n">
        <f aca="false">Prices!A97</f>
        <v>45535</v>
      </c>
      <c r="B96" s="14" t="n">
        <f aca="false">Prices!B97/Prices!B96-1</f>
        <v>0.0213154772931528</v>
      </c>
      <c r="C96" s="14" t="n">
        <f aca="false">Prices!C97/Prices!C96-1</f>
        <v>0.0290708959664907</v>
      </c>
      <c r="D96" s="14" t="n">
        <f aca="false">Prices!D97/Prices!D96-1</f>
        <v>0.00970880828214327</v>
      </c>
      <c r="E96" s="14" t="n">
        <f aca="false">Prices!E97/Prices!E96-1</f>
        <v>0.00641332745447731</v>
      </c>
      <c r="F96" s="14" t="n">
        <f aca="false">Prices!F97/Prices!F96-1</f>
        <v>0.0273972582428492</v>
      </c>
      <c r="G96" s="14" t="n">
        <f aca="false">Prices!G97/Prices!G96-1</f>
        <v>0.0522067304810201</v>
      </c>
      <c r="H96" s="14" t="n">
        <f aca="false">Prices!H97/Prices!H96-1</f>
        <v>0.0145161321452649</v>
      </c>
      <c r="I96" s="14" t="n">
        <f aca="false">Prices!I97/Prices!I96-1</f>
        <v>0.00796005662850186</v>
      </c>
      <c r="J96" s="14" t="n">
        <f aca="false">Prices!J97/Prices!J96-1</f>
        <v>0.02116630715262</v>
      </c>
      <c r="K96" s="14" t="n">
        <f aca="false">Prices!K97/Prices!K96-1</f>
        <v>0.00461726424024511</v>
      </c>
      <c r="L96" s="14" t="n">
        <f aca="false">Prices!L97/Prices!L96-1</f>
        <v>0.02336564959313</v>
      </c>
      <c r="M96" s="14" t="n">
        <f aca="false">Prices!M97/Prices!M96-1</f>
        <v>0.0146143525387936</v>
      </c>
      <c r="N96" s="14" t="n">
        <f aca="false">Prices!N97/Prices!N96-1</f>
        <v>0.0198002524905181</v>
      </c>
      <c r="O96" s="19" t="n">
        <f aca="false">Prices!O96/100/12</f>
        <v>0.00450833333333333</v>
      </c>
    </row>
    <row r="97" customFormat="false" ht="15" hidden="false" customHeight="false" outlineLevel="0" collapsed="false">
      <c r="A97" s="17" t="n">
        <f aca="false">Prices!A98</f>
        <v>45565</v>
      </c>
      <c r="B97" s="14" t="n">
        <f aca="false">Prices!B98/Prices!B97-1</f>
        <v>0.020308746542844</v>
      </c>
      <c r="C97" s="14" t="n">
        <f aca="false">Prices!C98/Prices!C97-1</f>
        <v>0.0107855679125992</v>
      </c>
      <c r="D97" s="14" t="n">
        <f aca="false">Prices!D98/Prices!D97-1</f>
        <v>0.0731549709624393</v>
      </c>
      <c r="E97" s="14" t="n">
        <f aca="false">Prices!E98/Prices!E97-1</f>
        <v>0.00778852721012457</v>
      </c>
      <c r="F97" s="14" t="n">
        <f aca="false">Prices!F98/Prices!F97-1</f>
        <v>0.0126665827697472</v>
      </c>
      <c r="G97" s="14" t="n">
        <f aca="false">Prices!G98/Prices!G97-1</f>
        <v>0.0326964743702058</v>
      </c>
      <c r="H97" s="14" t="n">
        <f aca="false">Prices!H98/Prices!H97-1</f>
        <v>0.0131657895112709</v>
      </c>
      <c r="I97" s="14" t="n">
        <f aca="false">Prices!I98/Prices!I97-1</f>
        <v>0.0152776309896907</v>
      </c>
      <c r="J97" s="14" t="n">
        <f aca="false">Prices!J98/Prices!J97-1</f>
        <v>0.051184476547895</v>
      </c>
      <c r="K97" s="14" t="n">
        <f aca="false">Prices!K98/Prices!K97-1</f>
        <v>0.00422191172996222</v>
      </c>
      <c r="L97" s="14" t="n">
        <f aca="false">Prices!L98/Prices!L97-1</f>
        <v>0.0210044847818063</v>
      </c>
      <c r="M97" s="14" t="n">
        <f aca="false">Prices!M98/Prices!M97-1</f>
        <v>0.0133283244547278</v>
      </c>
      <c r="N97" s="14" t="n">
        <f aca="false">Prices!N98/Prices!N97-1</f>
        <v>0.0178694082954765</v>
      </c>
      <c r="O97" s="19" t="n">
        <f aca="false">Prices!O97/100/12</f>
        <v>0.00434166666666667</v>
      </c>
    </row>
    <row r="98" customFormat="false" ht="15" hidden="false" customHeight="false" outlineLevel="0" collapsed="false">
      <c r="A98" s="17" t="n">
        <f aca="false">Prices!A99</f>
        <v>45596</v>
      </c>
      <c r="B98" s="14" t="n">
        <f aca="false">Prices!B99/Prices!B98-1</f>
        <v>-0.00752227588258536</v>
      </c>
      <c r="C98" s="14" t="n">
        <f aca="false">Prices!C99/Prices!C98-1</f>
        <v>-0.0513160328473936</v>
      </c>
      <c r="D98" s="14" t="n">
        <f aca="false">Prices!D99/Prices!D98-1</f>
        <v>-0.0267503491686215</v>
      </c>
      <c r="E98" s="14" t="n">
        <f aca="false">Prices!E99/Prices!E98-1</f>
        <v>-0.017798760288134</v>
      </c>
      <c r="F98" s="14" t="n">
        <f aca="false">Prices!F99/Prices!F98-1</f>
        <v>-0.00658324291480861</v>
      </c>
      <c r="G98" s="14" t="n">
        <f aca="false">Prices!G99/Prices!G98-1</f>
        <v>-0.0335658432439188</v>
      </c>
      <c r="H98" s="14" t="n">
        <f aca="false">Prices!H99/Prices!H98-1</f>
        <v>-0.0245563849873988</v>
      </c>
      <c r="I98" s="14" t="n">
        <f aca="false">Prices!I99/Prices!I98-1</f>
        <v>-0.0184669005353748</v>
      </c>
      <c r="J98" s="14" t="n">
        <f aca="false">Prices!J99/Prices!J98-1</f>
        <v>0.0430583291135145</v>
      </c>
      <c r="K98" s="14" t="n">
        <f aca="false">Prices!K99/Prices!K98-1</f>
        <v>0.00394794532567322</v>
      </c>
      <c r="L98" s="14" t="n">
        <f aca="false">Prices!L99/Prices!L98-1</f>
        <v>-0.00892349691961458</v>
      </c>
      <c r="M98" s="14" t="n">
        <f aca="false">Prices!M99/Prices!M98-1</f>
        <v>-0.0251872566251254</v>
      </c>
      <c r="N98" s="14" t="n">
        <f aca="false">Prices!N99/Prices!N98-1</f>
        <v>-0.0225447896883962</v>
      </c>
      <c r="O98" s="19" t="n">
        <f aca="false">Prices!O98/100/12</f>
        <v>0.00394166666666667</v>
      </c>
    </row>
    <row r="99" customFormat="false" ht="15" hidden="false" customHeight="false" outlineLevel="0" collapsed="false">
      <c r="A99" s="17" t="n">
        <f aca="false">Prices!A100</f>
        <v>45626</v>
      </c>
      <c r="B99" s="14" t="n">
        <f aca="false">Prices!B100/Prices!B99-1</f>
        <v>0.0670035038887367</v>
      </c>
      <c r="C99" s="14" t="n">
        <f aca="false">Prices!C100/Prices!C99-1</f>
        <v>0.00399189306215919</v>
      </c>
      <c r="D99" s="14" t="n">
        <f aca="false">Prices!D100/Prices!D99-1</f>
        <v>-0.0214729429705546</v>
      </c>
      <c r="E99" s="14" t="n">
        <f aca="false">Prices!E100/Prices!E99-1</f>
        <v>-0.0209821411103864</v>
      </c>
      <c r="F99" s="14" t="n">
        <f aca="false">Prices!F100/Prices!F99-1</f>
        <v>0.0307490087993156</v>
      </c>
      <c r="G99" s="14" t="n">
        <f aca="false">Prices!G100/Prices!G99-1</f>
        <v>0.0425916444754526</v>
      </c>
      <c r="H99" s="14" t="n">
        <f aca="false">Prices!H100/Prices!H99-1</f>
        <v>0.0106833500556369</v>
      </c>
      <c r="I99" s="14" t="n">
        <f aca="false">Prices!I100/Prices!I99-1</f>
        <v>0.00490868160281432</v>
      </c>
      <c r="J99" s="14" t="n">
        <f aca="false">Prices!J100/Prices!J99-1</f>
        <v>-0.0306712962962964</v>
      </c>
      <c r="K99" s="14" t="n">
        <f aca="false">Prices!K100/Prices!K99-1</f>
        <v>0.00370733767157638</v>
      </c>
      <c r="L99" s="14" t="n">
        <f aca="false">Prices!L100/Prices!L99-1</f>
        <v>0.0596332541517166</v>
      </c>
      <c r="M99" s="14" t="n">
        <f aca="false">Prices!M100/Prices!M99-1</f>
        <v>0.0111097415525758</v>
      </c>
      <c r="N99" s="14" t="n">
        <f aca="false">Prices!N100/Prices!N99-1</f>
        <v>0.0268910308569668</v>
      </c>
      <c r="O99" s="19" t="n">
        <f aca="false">Prices!O99/100/12</f>
        <v>0.00386666666666667</v>
      </c>
    </row>
    <row r="100" customFormat="false" ht="15" hidden="false" customHeight="false" outlineLevel="0" collapsed="false">
      <c r="A100" s="17" t="n">
        <f aca="false">Prices!A101</f>
        <v>45657</v>
      </c>
      <c r="B100" s="14" t="n">
        <f aca="false">Prices!B101/Prices!B100-1</f>
        <v>-0.03040460296115</v>
      </c>
      <c r="C100" s="14" t="n">
        <f aca="false">Prices!C101/Prices!C100-1</f>
        <v>-0.0350597259919204</v>
      </c>
      <c r="D100" s="14" t="n">
        <f aca="false">Prices!D101/Prices!D100-1</f>
        <v>-0.0102425433713622</v>
      </c>
      <c r="E100" s="14" t="n">
        <f aca="false">Prices!E101/Prices!E100-1</f>
        <v>0.0138529912918681</v>
      </c>
      <c r="F100" s="14" t="n">
        <f aca="false">Prices!F101/Prices!F100-1</f>
        <v>0.0594575128513282</v>
      </c>
      <c r="G100" s="14" t="n">
        <f aca="false">Prices!G101/Prices!G100-1</f>
        <v>-0.0837217829620537</v>
      </c>
      <c r="H100" s="14" t="n">
        <f aca="false">Prices!H101/Prices!H100-1</f>
        <v>-0.0168099509895648</v>
      </c>
      <c r="I100" s="14" t="n">
        <f aca="false">Prices!I101/Prices!I100-1</f>
        <v>-0.0152428640406355</v>
      </c>
      <c r="J100" s="14" t="n">
        <f aca="false">Prices!J101/Prices!J100-1</f>
        <v>-0.014726407960199</v>
      </c>
      <c r="K100" s="14" t="n">
        <f aca="false">Prices!K101/Prices!K100-1</f>
        <v>0.00403109594507622</v>
      </c>
      <c r="L100" s="14" t="n">
        <f aca="false">Prices!L101/Prices!L100-1</f>
        <v>-0.0240601239293484</v>
      </c>
      <c r="M100" s="14" t="n">
        <f aca="false">Prices!M101/Prices!M100-1</f>
        <v>-0.0169340488076523</v>
      </c>
      <c r="N100" s="14" t="n">
        <f aca="false">Prices!N101/Prices!N100-1</f>
        <v>-0.0212961999796092</v>
      </c>
      <c r="O100" s="19" t="n">
        <f aca="false">Prices!O100/100/12</f>
        <v>0.00381666666666667</v>
      </c>
    </row>
    <row r="101" customFormat="false" ht="15" hidden="false" customHeight="false" outlineLevel="0" collapsed="false">
      <c r="A101" s="17" t="n">
        <f aca="false">Prices!A102</f>
        <v>45688</v>
      </c>
      <c r="B101" s="14" t="n">
        <f aca="false">Prices!B102/Prices!B101-1</f>
        <v>0.0303303364202052</v>
      </c>
      <c r="C101" s="14" t="n">
        <f aca="false">Prices!C102/Prices!C101-1</f>
        <v>0.044333013810804</v>
      </c>
      <c r="D101" s="14" t="n">
        <f aca="false">Prices!D102/Prices!D101-1</f>
        <v>0.00817442102216148</v>
      </c>
      <c r="E101" s="14" t="n">
        <f aca="false">Prices!E102/Prices!E101-1</f>
        <v>0.0347697528437827</v>
      </c>
      <c r="F101" s="14" t="n">
        <f aca="false">Prices!F102/Prices!F101-1</f>
        <v>0.0346295295595835</v>
      </c>
      <c r="G101" s="14" t="n">
        <f aca="false">Prices!G102/Prices!G101-1</f>
        <v>0.0165019892348364</v>
      </c>
      <c r="H101" s="14" t="n">
        <f aca="false">Prices!H102/Prices!H101-1</f>
        <v>0.00597979137370341</v>
      </c>
      <c r="I101" s="14" t="n">
        <f aca="false">Prices!I102/Prices!I101-1</f>
        <v>0.0123885237819197</v>
      </c>
      <c r="J101" s="14" t="n">
        <f aca="false">Prices!J102/Prices!J101-1</f>
        <v>0.0678651007014786</v>
      </c>
      <c r="K101" s="14" t="n">
        <f aca="false">Prices!K102/Prices!K101-1</f>
        <v>0.00349991370292191</v>
      </c>
      <c r="L101" s="14" t="n">
        <f aca="false">Prices!L102/Prices!L101-1</f>
        <v>0.0268564576940999</v>
      </c>
      <c r="M101" s="14" t="n">
        <f aca="false">Prices!M102/Prices!M101-1</f>
        <v>0.0051599374523803</v>
      </c>
      <c r="N101" s="14" t="n">
        <f aca="false">Prices!N102/Prices!N101-1</f>
        <v>0.0205860656030392</v>
      </c>
      <c r="O101" s="19" t="n">
        <f aca="false">Prices!O101/100/12</f>
        <v>0.00364166666666667</v>
      </c>
    </row>
    <row r="102" customFormat="false" ht="15" hidden="false" customHeight="false" outlineLevel="0" collapsed="false">
      <c r="A102" s="17" t="n">
        <f aca="false">Prices!A103</f>
        <v>45716</v>
      </c>
      <c r="B102" s="14" t="n">
        <f aca="false">Prices!B103/Prices!B102-1</f>
        <v>-0.0188882810631705</v>
      </c>
      <c r="C102" s="14" t="n">
        <f aca="false">Prices!C103/Prices!C102-1</f>
        <v>0.0226270394294485</v>
      </c>
      <c r="D102" s="14" t="n">
        <f aca="false">Prices!D103/Prices!D102-1</f>
        <v>0.00743231789604204</v>
      </c>
      <c r="E102" s="14" t="n">
        <f aca="false">Prices!E103/Prices!E102-1</f>
        <v>-0.0267390460325693</v>
      </c>
      <c r="F102" s="14" t="n">
        <f aca="false">Prices!F103/Prices!F102-1</f>
        <v>0.024662292842714</v>
      </c>
      <c r="G102" s="14" t="n">
        <f aca="false">Prices!G103/Prices!G102-1</f>
        <v>0.0369961190753974</v>
      </c>
      <c r="H102" s="14" t="n">
        <f aca="false">Prices!H103/Prices!H102-1</f>
        <v>0.0215656897297154</v>
      </c>
      <c r="I102" s="14" t="n">
        <f aca="false">Prices!I103/Prices!I102-1</f>
        <v>0.0214148785167452</v>
      </c>
      <c r="J102" s="14" t="n">
        <f aca="false">Prices!J103/Prices!J102-1</f>
        <v>0.0189143184965825</v>
      </c>
      <c r="K102" s="14" t="n">
        <f aca="false">Prices!K103/Prices!K102-1</f>
        <v>0.00323810788386991</v>
      </c>
      <c r="L102" s="14" t="n">
        <f aca="false">Prices!L103/Prices!L102-1</f>
        <v>-0.0126948217871001</v>
      </c>
      <c r="M102" s="14" t="n">
        <f aca="false">Prices!M103/Prices!M102-1</f>
        <v>0.0223738036661407</v>
      </c>
      <c r="N102" s="14" t="n">
        <f aca="false">Prices!N103/Prices!N102-1</f>
        <v>0.00529926322740204</v>
      </c>
      <c r="O102" s="19" t="n">
        <f aca="false">Prices!O102/100/12</f>
        <v>0.00359166666666667</v>
      </c>
    </row>
    <row r="103" customFormat="false" ht="15" hidden="false" customHeight="false" outlineLevel="0" collapsed="false">
      <c r="A103" s="17" t="n">
        <f aca="false">Prices!A104</f>
        <v>45747</v>
      </c>
      <c r="B103" s="14" t="n">
        <f aca="false">Prices!B104/Prices!B103-1</f>
        <v>-0.0585532302655623</v>
      </c>
      <c r="C103" s="14" t="n">
        <f aca="false">Prices!C104/Prices!C103-1</f>
        <v>-9.71253811773432E-005</v>
      </c>
      <c r="D103" s="14" t="n">
        <f aca="false">Prices!D104/Prices!D103-1</f>
        <v>0.0128783936275569</v>
      </c>
      <c r="E103" s="14" t="n">
        <f aca="false">Prices!E104/Prices!E103-1</f>
        <v>0.005834987967682</v>
      </c>
      <c r="F103" s="14" t="n">
        <f aca="false">Prices!F104/Prices!F103-1</f>
        <v>-0.0275073197608978</v>
      </c>
      <c r="G103" s="14" t="n">
        <f aca="false">Prices!G104/Prices!G103-1</f>
        <v>-0.0258780164900075</v>
      </c>
      <c r="H103" s="14" t="n">
        <f aca="false">Prices!H104/Prices!H103-1</f>
        <v>0.000122353995164692</v>
      </c>
      <c r="I103" s="14" t="n">
        <f aca="false">Prices!I104/Prices!I103-1</f>
        <v>0.00730498354701092</v>
      </c>
      <c r="J103" s="14" t="n">
        <f aca="false">Prices!J104/Prices!J103-1</f>
        <v>0.0944867290604554</v>
      </c>
      <c r="K103" s="14" t="n">
        <f aca="false">Prices!K104/Prices!K103-1</f>
        <v>0.00327003042981788</v>
      </c>
      <c r="L103" s="14" t="n">
        <f aca="false">Prices!L104/Prices!L103-1</f>
        <v>-0.0557192123932441</v>
      </c>
      <c r="M103" s="14" t="n">
        <f aca="false">Prices!M104/Prices!M103-1</f>
        <v>-0.000262803172264792</v>
      </c>
      <c r="N103" s="14" t="n">
        <f aca="false">Prices!N104/Prices!N103-1</f>
        <v>-0.02108494337748</v>
      </c>
      <c r="O103" s="19" t="n">
        <f aca="false">Prices!O103/100/12</f>
        <v>0.0036</v>
      </c>
    </row>
    <row r="104" customFormat="false" ht="15" hidden="false" customHeight="false" outlineLevel="0" collapsed="false">
      <c r="A104" s="17" t="n">
        <f aca="false">Prices!A105</f>
        <v>45777</v>
      </c>
      <c r="B104" s="14" t="n">
        <f aca="false">Prices!B105/Prices!B104-1</f>
        <v>-0.00734970457708151</v>
      </c>
      <c r="C104" s="14" t="n">
        <f aca="false">Prices!C105/Prices!C104-1</f>
        <v>0.0401336349251062</v>
      </c>
      <c r="D104" s="14" t="n">
        <f aca="false">Prices!D105/Prices!D104-1</f>
        <v>-0.000220890973400723</v>
      </c>
      <c r="E104" s="14" t="n">
        <f aca="false">Prices!E105/Prices!E104-1</f>
        <v>-0.0227217318449475</v>
      </c>
      <c r="F104" s="14" t="n">
        <f aca="false">Prices!F105/Prices!F104-1</f>
        <v>0.0536240560557215</v>
      </c>
      <c r="G104" s="14" t="n">
        <f aca="false">Prices!G105/Prices!G104-1</f>
        <v>-0.0244089722229629</v>
      </c>
      <c r="H104" s="14" t="n">
        <f aca="false">Prices!H105/Prices!H104-1</f>
        <v>0.0039613602957258</v>
      </c>
      <c r="I104" s="14" t="n">
        <f aca="false">Prices!I105/Prices!I104-1</f>
        <v>0.00145565407509873</v>
      </c>
      <c r="J104" s="14" t="n">
        <f aca="false">Prices!J105/Prices!J104-1</f>
        <v>0.0544436746004693</v>
      </c>
      <c r="K104" s="14" t="n">
        <f aca="false">Prices!K105/Prices!K104-1</f>
        <v>0.00340220516515566</v>
      </c>
      <c r="L104" s="14" t="n">
        <f aca="false">Prices!L105/Prices!L104-1</f>
        <v>-0.00867017813490456</v>
      </c>
      <c r="M104" s="14" t="n">
        <f aca="false">Prices!M105/Prices!M104-1</f>
        <v>0.00431046326761297</v>
      </c>
      <c r="N104" s="14" t="n">
        <f aca="false">Prices!N105/Prices!N104-1</f>
        <v>0.0051858456662206</v>
      </c>
      <c r="O104" s="19" t="n">
        <f aca="false">Prices!O104/100/12</f>
        <v>0.0036</v>
      </c>
    </row>
    <row r="105" customFormat="false" ht="15" hidden="false" customHeight="false" outlineLevel="0" collapsed="false">
      <c r="A105" s="17" t="n">
        <f aca="false">Prices!A106</f>
        <v>45808</v>
      </c>
      <c r="B105" s="14" t="n">
        <f aca="false">Prices!B106/Prices!B105-1</f>
        <v>0.0625320917052576</v>
      </c>
      <c r="C105" s="14" t="n">
        <f aca="false">Prices!C106/Prices!C105-1</f>
        <v>0.0512577454166008</v>
      </c>
      <c r="D105" s="14" t="n">
        <f aca="false">Prices!D106/Prices!D105-1</f>
        <v>0.0386740085999715</v>
      </c>
      <c r="E105" s="14" t="n">
        <f aca="false">Prices!E106/Prices!E105-1</f>
        <v>-0.0519416045190166</v>
      </c>
      <c r="F105" s="14" t="n">
        <f aca="false">Prices!F106/Prices!F105-1</f>
        <v>0.0385907914138011</v>
      </c>
      <c r="G105" s="14" t="n">
        <f aca="false">Prices!G106/Prices!G105-1</f>
        <v>0.0112078545668601</v>
      </c>
      <c r="H105" s="14" t="n">
        <f aca="false">Prices!H106/Prices!H105-1</f>
        <v>-0.006742735061262</v>
      </c>
      <c r="I105" s="14" t="n">
        <f aca="false">Prices!I106/Prices!I105-1</f>
        <v>-0.00737614683006738</v>
      </c>
      <c r="J105" s="14" t="n">
        <f aca="false">Prices!J106/Prices!J105-1</f>
        <v>-0.000160817119537304</v>
      </c>
      <c r="K105" s="14" t="n">
        <f aca="false">Prices!K106/Prices!K105-1</f>
        <v>0.00363200411220288</v>
      </c>
      <c r="L105" s="14" t="n">
        <f aca="false">Prices!L106/Prices!L105-1</f>
        <v>0.0628450201834259</v>
      </c>
      <c r="M105" s="14" t="n">
        <f aca="false">Prices!M106/Prices!M105-1</f>
        <v>-0.00606904334180314</v>
      </c>
      <c r="N105" s="14" t="n">
        <f aca="false">Prices!N106/Prices!N105-1</f>
        <v>0.0338424392852326</v>
      </c>
      <c r="O105" s="19" t="n">
        <f aca="false">Prices!O105/100/12</f>
        <v>0.00359166666666667</v>
      </c>
    </row>
    <row r="106" customFormat="false" ht="15" hidden="false" customHeight="false" outlineLevel="0" collapsed="false">
      <c r="A106" s="17" t="n">
        <f aca="false">Prices!A107</f>
        <v>45838</v>
      </c>
      <c r="B106" s="14" t="n">
        <f aca="false">Prices!B107/Prices!B106-1</f>
        <v>0.0516337211506486</v>
      </c>
      <c r="C106" s="14" t="n">
        <f aca="false">Prices!C107/Prices!C106-1</f>
        <v>0.0338865693070169</v>
      </c>
      <c r="D106" s="14" t="n">
        <f aca="false">Prices!D107/Prices!D106-1</f>
        <v>0.0553871782450806</v>
      </c>
      <c r="E106" s="14" t="n">
        <f aca="false">Prices!E107/Prices!E106-1</f>
        <v>0.022917654819901</v>
      </c>
      <c r="F106" s="14" t="n">
        <f aca="false">Prices!F107/Prices!F106-1</f>
        <v>0.0428388275903786</v>
      </c>
      <c r="G106" s="14" t="n">
        <f aca="false">Prices!G107/Prices!G106-1</f>
        <v>0.00688491162066796</v>
      </c>
      <c r="H106" s="14" t="n">
        <f aca="false">Prices!H107/Prices!H106-1</f>
        <v>0.0151660428848297</v>
      </c>
      <c r="I106" s="14" t="n">
        <f aca="false">Prices!I107/Prices!I106-1</f>
        <v>0.0103763509346582</v>
      </c>
      <c r="J106" s="14" t="n">
        <f aca="false">Prices!J107/Prices!J106-1</f>
        <v>0.00321751930501923</v>
      </c>
      <c r="K106" s="14" t="n">
        <f aca="false">Prices!K107/Prices!K106-1</f>
        <v>0.00334697251300464</v>
      </c>
      <c r="L106" s="14" t="n">
        <f aca="false">Prices!L107/Prices!L106-1</f>
        <v>0.0513862414282433</v>
      </c>
      <c r="M106" s="14" t="n">
        <f aca="false">Prices!M107/Prices!M106-1</f>
        <v>0.0145538069254072</v>
      </c>
      <c r="N106" s="14" t="n">
        <f aca="false">Prices!N107/Prices!N106-1</f>
        <v>0.0335740076172049</v>
      </c>
      <c r="O106" s="19" t="n">
        <f aca="false">Prices!O106/100/12</f>
        <v>0.00363333333333333</v>
      </c>
    </row>
    <row r="107" customFormat="false" ht="15" hidden="false" customHeight="false" outlineLevel="0" collapsed="false">
      <c r="A107" s="17" t="n">
        <f aca="false">Prices!A108</f>
        <v>45869</v>
      </c>
      <c r="B107" s="14" t="n">
        <f aca="false">Prices!B108/Prices!B107-1</f>
        <v>0.0229001639633206</v>
      </c>
      <c r="C107" s="14" t="n">
        <f aca="false">Prices!C108/Prices!C107-1</f>
        <v>-0.013857211472119</v>
      </c>
      <c r="D107" s="14" t="n">
        <f aca="false">Prices!D108/Prices!D107-1</f>
        <v>0.00687423574275825</v>
      </c>
      <c r="E107" s="14" t="n">
        <f aca="false">Prices!E108/Prices!E107-1</f>
        <v>-0.0254281265386742</v>
      </c>
      <c r="F107" s="14" t="n">
        <f aca="false">Prices!F108/Prices!F107-1</f>
        <v>0.0705127464325079</v>
      </c>
      <c r="G107" s="14" t="n">
        <f aca="false">Prices!G108/Prices!G107-1</f>
        <v>0.000898353081701497</v>
      </c>
      <c r="H107" s="14" t="n">
        <f aca="false">Prices!H108/Prices!H107-1</f>
        <v>-0.00265701117558237</v>
      </c>
      <c r="I107" s="14" t="n">
        <f aca="false">Prices!I108/Prices!I107-1</f>
        <v>0.000940690387822407</v>
      </c>
      <c r="J107" s="14" t="n">
        <f aca="false">Prices!J108/Prices!J107-1</f>
        <v>-0.00561262017939979</v>
      </c>
      <c r="K107" s="14" t="n">
        <f aca="false">Prices!K108/Prices!K107-1</f>
        <v>0.00356593965682839</v>
      </c>
      <c r="L107" s="14" t="n">
        <f aca="false">Prices!L108/Prices!L107-1</f>
        <v>0.0230314635788975</v>
      </c>
      <c r="M107" s="14" t="n">
        <f aca="false">Prices!M108/Prices!M107-1</f>
        <v>-0.00263960846932898</v>
      </c>
      <c r="N107" s="14" t="n">
        <f aca="false">Prices!N108/Prices!N107-1</f>
        <v>0.00589564539614362</v>
      </c>
      <c r="O107" s="19" t="n">
        <f aca="false">Prices!O107/100/12</f>
        <v>0.003675</v>
      </c>
    </row>
    <row r="108" customFormat="false" ht="15" hidden="false" customHeight="false" outlineLevel="0" collapsed="false">
      <c r="A108" s="17" t="n">
        <f aca="false">Prices!A109</f>
        <v>45900</v>
      </c>
      <c r="B108" s="14" t="n">
        <f aca="false">Prices!B109/Prices!B108-1</f>
        <v>0.0235132005702132</v>
      </c>
      <c r="C108" s="14" t="n">
        <f aca="false">Prices!C109/Prices!C108-1</f>
        <v>0.0442902513326928</v>
      </c>
      <c r="D108" s="14" t="n">
        <f aca="false">Prices!D109/Prices!D108-1</f>
        <v>0.0347389787981163</v>
      </c>
      <c r="E108" s="14" t="n">
        <f aca="false">Prices!E109/Prices!E108-1</f>
        <v>-0.00532479518882101</v>
      </c>
      <c r="F108" s="14" t="n">
        <f aca="false">Prices!F109/Prices!F108-1</f>
        <v>-0.0329341254908612</v>
      </c>
      <c r="G108" s="14" t="n">
        <f aca="false">Prices!G109/Prices!G108-1</f>
        <v>0.0347767460844284</v>
      </c>
      <c r="H108" s="14" t="n">
        <f aca="false">Prices!H109/Prices!H108-1</f>
        <v>0.0115411432240049</v>
      </c>
      <c r="I108" s="14" t="n">
        <f aca="false">Prices!I109/Prices!I108-1</f>
        <v>0.0157664457046611</v>
      </c>
      <c r="J108" s="14" t="n">
        <f aca="false">Prices!J109/Prices!J108-1</f>
        <v>0.0498306740793637</v>
      </c>
      <c r="K108" s="14" t="n">
        <f aca="false">Prices!K109/Prices!K108-1</f>
        <v>0.00370772161486355</v>
      </c>
      <c r="L108" s="14" t="n">
        <f aca="false">Prices!L109/Prices!L108-1</f>
        <v>0.0205194456755575</v>
      </c>
      <c r="M108" s="14" t="n">
        <f aca="false">Prices!M109/Prices!M108-1</f>
        <v>0.0119036041600809</v>
      </c>
      <c r="N108" s="14" t="n">
        <f aca="false">Prices!N109/Prices!N108-1</f>
        <v>0.022128313298686</v>
      </c>
      <c r="O108" s="19" t="n">
        <f aca="false">Prices!O108/100/12</f>
        <v>0.003675</v>
      </c>
    </row>
    <row r="109" customFormat="false" ht="15" hidden="false" customHeight="false" outlineLevel="0" collapsed="false">
      <c r="A109" s="17" t="n">
        <f aca="false">Prices!A110</f>
        <v>45930</v>
      </c>
      <c r="B109" s="14" t="n">
        <f aca="false">Prices!B110/Prices!B109-1</f>
        <v>0.0341993419001143</v>
      </c>
      <c r="C109" s="14" t="n">
        <f aca="false">Prices!C110/Prices!C109-1</f>
        <v>0.0254979436147629</v>
      </c>
      <c r="D109" s="14" t="n">
        <f aca="false">Prices!D110/Prices!D109-1</f>
        <v>0.0568792464120704</v>
      </c>
      <c r="E109" s="14" t="n">
        <f aca="false">Prices!E110/Prices!E109-1</f>
        <v>0.0861884310148222</v>
      </c>
      <c r="F109" s="14" t="n">
        <f aca="false">Prices!F110/Prices!F109-1</f>
        <v>-0.0252837886860722</v>
      </c>
      <c r="G109" s="14" t="n">
        <f aca="false">Prices!G110/Prices!G109-1</f>
        <v>0.000576380490226569</v>
      </c>
      <c r="H109" s="14" t="n">
        <f aca="false">Prices!H110/Prices!H109-1</f>
        <v>0.0110527918500678</v>
      </c>
      <c r="I109" s="14" t="n">
        <f aca="false">Prices!I110/Prices!I109-1</f>
        <v>0.00443509171840084</v>
      </c>
      <c r="J109" s="14" t="n">
        <f aca="false">Prices!J110/Prices!J109-1</f>
        <v>0.117818728658025</v>
      </c>
      <c r="K109" s="14" t="n">
        <f aca="false">Prices!K110/Prices!K109-1</f>
        <v>0.00330255902825871</v>
      </c>
      <c r="L109" s="14" t="n">
        <f aca="false">Prices!L110/Prices!L109-1</f>
        <v>0.0356203651493843</v>
      </c>
      <c r="M109" s="14" t="n">
        <f aca="false">Prices!M110/Prices!M109-1</f>
        <v>0.0112676937084284</v>
      </c>
      <c r="N109" s="14" t="n">
        <f aca="false">Prices!N110/Prices!N109-1</f>
        <v>0.0248328301126883</v>
      </c>
      <c r="O109" s="19" t="n">
        <f aca="false">Prices!O109/100/12</f>
        <v>0.003525</v>
      </c>
    </row>
    <row r="110" customFormat="false" ht="15" hidden="false" customHeight="false" outlineLevel="0" collapsed="false">
      <c r="A110" s="17" t="n">
        <f aca="false">Prices!A111</f>
        <v>45961</v>
      </c>
      <c r="B110" s="14" t="n">
        <f aca="false">Prices!B111/Prices!B110-1</f>
        <v>0.0220922052012909</v>
      </c>
      <c r="C110" s="14" t="n">
        <f aca="false">Prices!C111/Prices!C110-1</f>
        <v>0.0176902863514163</v>
      </c>
      <c r="D110" s="14" t="n">
        <f aca="false">Prices!D111/Prices!D110-1</f>
        <v>0.0145810282751435</v>
      </c>
      <c r="E110" s="14" t="n">
        <f aca="false">Prices!E111/Prices!E110-1</f>
        <v>-0.00739289258386944</v>
      </c>
      <c r="F110" s="14" t="n">
        <f aca="false">Prices!F111/Prices!F110-1</f>
        <v>0.0418211420725221</v>
      </c>
      <c r="G110" s="14" t="n">
        <f aca="false">Prices!G111/Prices!G110-1</f>
        <v>-0.0245023406914312</v>
      </c>
      <c r="H110" s="14" t="n">
        <f aca="false">Prices!H111/Prices!H110-1</f>
        <v>0.00602962096582704</v>
      </c>
      <c r="I110" s="14" t="n">
        <f aca="false">Prices!I111/Prices!I110-1</f>
        <v>0.00334941348965012</v>
      </c>
      <c r="J110" s="14" t="n">
        <f aca="false">Prices!J111/Prices!J110-1</f>
        <v>0.0360038767075941</v>
      </c>
      <c r="K110" s="14" t="n">
        <f aca="false">Prices!K111/Prices!K110-1</f>
        <v>0.00351048651891306</v>
      </c>
      <c r="L110" s="14" t="n">
        <f aca="false">Prices!L111/Prices!L110-1</f>
        <v>0.0238375967954503</v>
      </c>
      <c r="M110" s="14" t="n">
        <f aca="false">Prices!M111/Prices!M110-1</f>
        <v>0.00615450730663958</v>
      </c>
      <c r="N110" s="14" t="n">
        <f aca="false">Prices!N111/Prices!N110-1</f>
        <v>0.0152387849976581</v>
      </c>
      <c r="O110" s="19" t="n">
        <f aca="false">Prices!O110/100/12</f>
        <v>0.00335</v>
      </c>
    </row>
    <row r="111" customFormat="false" ht="15" hidden="false" customHeight="false" outlineLevel="0" collapsed="false">
      <c r="A111" s="17" t="n">
        <f aca="false">Prices!A112</f>
        <v>45991</v>
      </c>
      <c r="B111" s="14" t="n">
        <f aca="false">Prices!B112/Prices!B111-1</f>
        <v>0.00265336392784277</v>
      </c>
      <c r="C111" s="14" t="n">
        <f aca="false">Prices!C112/Prices!C111-1</f>
        <v>0.00967531824119816</v>
      </c>
      <c r="D111" s="14" t="n">
        <f aca="false">Prices!D112/Prices!D111-1</f>
        <v>-0.0121885070009266</v>
      </c>
      <c r="E111" s="14" t="n">
        <f aca="false">Prices!E112/Prices!E111-1</f>
        <v>-0.070506455753621</v>
      </c>
      <c r="F111" s="14" t="n">
        <f aca="false">Prices!F112/Prices!F111-1</f>
        <v>-0.0558943289655114</v>
      </c>
      <c r="G111" s="14" t="n">
        <f aca="false">Prices!G112/Prices!G111-1</f>
        <v>0.0242206799022131</v>
      </c>
      <c r="H111" s="14" t="n">
        <f aca="false">Prices!H112/Prices!H111-1</f>
        <v>0.00597272824477968</v>
      </c>
      <c r="I111" s="14" t="n">
        <f aca="false">Prices!I112/Prices!I111-1</f>
        <v>0.00156326713572974</v>
      </c>
      <c r="J111" s="14" t="n">
        <f aca="false">Prices!J112/Prices!J111-1</f>
        <v>0.0533227888754846</v>
      </c>
      <c r="K111" s="14" t="n">
        <f aca="false">Prices!K112/Prices!K111-1</f>
        <v>0.00287549992198088</v>
      </c>
      <c r="L111" s="14" t="n">
        <f aca="false">Prices!L112/Prices!L111-1</f>
        <v>0.00194987229098587</v>
      </c>
      <c r="M111" s="14" t="n">
        <f aca="false">Prices!M112/Prices!M111-1</f>
        <v>0.00605722525628494</v>
      </c>
      <c r="N111" s="14" t="n">
        <f aca="false">Prices!N112/Prices!N111-1</f>
        <v>0.00553086262897984</v>
      </c>
      <c r="O111" s="19" t="n">
        <f aca="false">Prices!O111/100/12</f>
        <v>0.00324166666666667</v>
      </c>
    </row>
    <row r="112" customFormat="false" ht="15" hidden="false" customHeight="false" outlineLevel="0" collapsed="false">
      <c r="A112" s="17" t="n">
        <f aca="false">Prices!A113</f>
        <v>46022</v>
      </c>
      <c r="B112" s="14" t="n">
        <f aca="false">Prices!B113/Prices!B112-1</f>
        <v>-0.000264690159496928</v>
      </c>
      <c r="C112" s="14" t="n">
        <f aca="false">Prices!C113/Prices!C112-1</f>
        <v>0.0317836423876978</v>
      </c>
      <c r="D112" s="14" t="n">
        <f aca="false">Prices!D113/Prices!D112-1</f>
        <v>0.00951829888883315</v>
      </c>
      <c r="E112" s="14" t="n">
        <f aca="false">Prices!E113/Prices!E112-1</f>
        <v>-0.0157455570501024</v>
      </c>
      <c r="F112" s="14" t="n">
        <f aca="false">Prices!F113/Prices!F112-1</f>
        <v>0.0391440070073137</v>
      </c>
      <c r="G112" s="14" t="n">
        <f aca="false">Prices!G113/Prices!G112-1</f>
        <v>-0.0223626059592151</v>
      </c>
      <c r="H112" s="14" t="n">
        <f aca="false">Prices!H113/Prices!H112-1</f>
        <v>-0.0030015500356847</v>
      </c>
      <c r="I112" s="14" t="n">
        <f aca="false">Prices!I113/Prices!I112-1</f>
        <v>-0.0056042728740352</v>
      </c>
      <c r="J112" s="14" t="n">
        <f aca="false">Prices!J113/Prices!J112-1</f>
        <v>0.0221633788105591</v>
      </c>
      <c r="K112" s="14" t="n">
        <f aca="false">Prices!K113/Prices!K112-1</f>
        <v>0.00335204087562091</v>
      </c>
      <c r="L112" s="14" t="n">
        <f aca="false">Prices!L113/Prices!L112-1</f>
        <v>0.000797497899058808</v>
      </c>
      <c r="M112" s="14" t="n">
        <f aca="false">Prices!M113/Prices!M112-1</f>
        <v>-0.00278987585116264</v>
      </c>
      <c r="N112" s="14" t="n">
        <f aca="false">Prices!N113/Prices!N112-1</f>
        <v>0.00349397743956859</v>
      </c>
      <c r="O112" s="19" t="n">
        <f aca="false">Prices!O112/100/12</f>
        <v>0.00323333333333333</v>
      </c>
    </row>
    <row r="113" customFormat="false" ht="15" hidden="false" customHeight="false" outlineLevel="0" collapsed="false">
      <c r="A113" s="17" t="n">
        <f aca="false">Prices!A114</f>
        <v>46053</v>
      </c>
      <c r="B113" s="14" t="n">
        <f aca="false">Prices!B114/Prices!B113-1</f>
        <v>0.0158082616174455</v>
      </c>
      <c r="C113" s="14" t="n">
        <f aca="false">Prices!C114/Prices!C113-1</f>
        <v>0.0597085912468527</v>
      </c>
      <c r="D113" s="14" t="n">
        <f aca="false">Prices!D114/Prices!D113-1</f>
        <v>0.0504093163261068</v>
      </c>
      <c r="E113" s="14" t="n">
        <f aca="false">Prices!E114/Prices!E113-1</f>
        <v>0.0947541703585091</v>
      </c>
      <c r="F113" s="14" t="n">
        <f aca="false">Prices!F114/Prices!F113-1</f>
        <v>0.0716526636663255</v>
      </c>
      <c r="G113" s="14" t="n">
        <f aca="false">Prices!G114/Prices!G113-1</f>
        <v>0.0261047314912266</v>
      </c>
      <c r="H113" s="14" t="n">
        <f aca="false">Prices!H114/Prices!H113-1</f>
        <v>0.00216025954342158</v>
      </c>
      <c r="I113" s="14" t="n">
        <f aca="false">Prices!I114/Prices!I113-1</f>
        <v>0.00566253503491909</v>
      </c>
      <c r="J113" s="14" t="n">
        <f aca="false">Prices!J114/Prices!J113-1</f>
        <v>0.123567811348227</v>
      </c>
      <c r="K113" s="14" t="n">
        <f aca="false">Prices!K114/Prices!K113-1</f>
        <v>0.00295478790728154</v>
      </c>
      <c r="L113" s="14" t="n">
        <f aca="false">Prices!L114/Prices!L113-1</f>
        <v>0.0147378835747798</v>
      </c>
      <c r="M113" s="14" t="n">
        <f aca="false">Prices!M114/Prices!M113-1</f>
        <v>0.00250304816025593</v>
      </c>
      <c r="N113" s="14" t="n">
        <f aca="false">Prices!N114/Prices!N113-1</f>
        <v>0.0207659754995555</v>
      </c>
      <c r="O113" s="19" t="n">
        <f aca="false">Prices!O113/100/12</f>
        <v>0.00305833333333333</v>
      </c>
    </row>
    <row r="114" customFormat="false" ht="15" hidden="false" customHeight="false" outlineLevel="0" collapsed="false">
      <c r="A114" s="17" t="n">
        <f aca="false">Prices!A115</f>
        <v>46081</v>
      </c>
      <c r="B114" s="14" t="n">
        <f aca="false">Prices!B115/Prices!B114-1</f>
        <v>-0.00528526149784159</v>
      </c>
      <c r="C114" s="14" t="n">
        <f aca="false">Prices!C115/Prices!C114-1</f>
        <v>0.0610273211211465</v>
      </c>
      <c r="D114" s="14" t="n">
        <f aca="false">Prices!D115/Prices!D114-1</f>
        <v>0.0288647935944024</v>
      </c>
      <c r="E114" s="14" t="n">
        <f aca="false">Prices!E115/Prices!E114-1</f>
        <v>-0.0674862282061591</v>
      </c>
      <c r="F114" s="14" t="n">
        <f aca="false">Prices!F115/Prices!F114-1</f>
        <v>0.0419716488895978</v>
      </c>
      <c r="G114" s="14" t="n">
        <f aca="false">Prices!G115/Prices!G114-1</f>
        <v>0.0538545273997804</v>
      </c>
      <c r="H114" s="14" t="n">
        <f aca="false">Prices!H115/Prices!H114-1</f>
        <v>0.01601667027334</v>
      </c>
      <c r="I114" s="14" t="n">
        <f aca="false">Prices!I115/Prices!I114-1</f>
        <v>0.0116367207295773</v>
      </c>
      <c r="J114" s="14" t="n">
        <f aca="false">Prices!J115/Prices!J114-1</f>
        <v>0.0862938953824746</v>
      </c>
      <c r="K114" s="14" t="n">
        <f aca="false">Prices!K115/Prices!K114-1</f>
        <v>0.00267030204473429</v>
      </c>
      <c r="L114" s="14" t="n">
        <f aca="false">Prices!L115/Prices!L114-1</f>
        <v>-0.00864208267860556</v>
      </c>
      <c r="M114" s="14" t="n">
        <f aca="false">Prices!M115/Prices!M114-1</f>
        <v>0.01598113309459</v>
      </c>
      <c r="N114" s="14" t="n">
        <f aca="false">Prices!N115/Prices!N114-1</f>
        <v>0.0150692298791992</v>
      </c>
      <c r="O114" s="19" t="n">
        <f aca="false">Prices!O114/100/12</f>
        <v>0.00305833333333333</v>
      </c>
    </row>
    <row r="115" customFormat="false" ht="15" hidden="false" customHeight="false" outlineLevel="0" collapsed="false">
      <c r="A115" s="17" t="n">
        <f aca="false">Prices!A116</f>
        <v>46112</v>
      </c>
      <c r="B115" s="14" t="n">
        <f aca="false">Prices!B116/Prices!B115-1</f>
        <v>-0.0500484808331683</v>
      </c>
      <c r="C115" s="14" t="n">
        <f aca="false">Prices!C116/Prices!C115-1</f>
        <v>-0.0861468510513057</v>
      </c>
      <c r="D115" s="14" t="n">
        <f aca="false">Prices!D116/Prices!D115-1</f>
        <v>-0.0697074085954322</v>
      </c>
      <c r="E115" s="14" t="n">
        <f aca="false">Prices!E116/Prices!E115-1</f>
        <v>0.0694108067299899</v>
      </c>
      <c r="F115" s="14" t="n">
        <f aca="false">Prices!F116/Prices!F115-1</f>
        <v>-0.126463676052692</v>
      </c>
      <c r="G115" s="14" t="n">
        <f aca="false">Prices!G116/Prices!G115-1</f>
        <v>-0.0631393204458859</v>
      </c>
      <c r="H115" s="14" t="n">
        <f aca="false">Prices!H116/Prices!H115-1</f>
        <v>-0.0173733109970029</v>
      </c>
      <c r="I115" s="14" t="n">
        <f aca="false">Prices!I116/Prices!I115-1</f>
        <v>-0.0126160877020998</v>
      </c>
      <c r="J115" s="14" t="n">
        <f aca="false">Prices!J116/Prices!J115-1</f>
        <v>-0.110124114262642</v>
      </c>
      <c r="K115" s="14" t="n">
        <f aca="false">Prices!K116/Prices!K115-1</f>
        <v>0.00287806629765619</v>
      </c>
      <c r="L115" s="14" t="n">
        <f aca="false">Prices!L116/Prices!L115-1</f>
        <v>-0.049379608397308</v>
      </c>
      <c r="M115" s="14" t="n">
        <f aca="false">Prices!M116/Prices!M115-1</f>
        <v>-0.0179453923269317</v>
      </c>
      <c r="N115" s="14" t="n">
        <f aca="false">Prices!N116/Prices!N115-1</f>
        <v>-0.044685228066757</v>
      </c>
      <c r="O115" s="19" t="n">
        <f aca="false">Prices!O115/100/12</f>
        <v>0.00305833333333333</v>
      </c>
    </row>
    <row r="116" customFormat="false" ht="15" hidden="false" customHeight="false" outlineLevel="0" collapsed="false">
      <c r="A116" s="17" t="n">
        <f aca="false">Prices!A117</f>
        <v>46142</v>
      </c>
      <c r="B116" s="14" t="n">
        <f aca="false">Prices!B117/Prices!B116-1</f>
        <v>0.104017852145301</v>
      </c>
      <c r="C116" s="14" t="n">
        <f aca="false">Prices!C117/Prices!C116-1</f>
        <v>0.0736579596323839</v>
      </c>
      <c r="D116" s="14" t="n">
        <f aca="false">Prices!D117/Prices!D116-1</f>
        <v>0.0902868702483484</v>
      </c>
      <c r="E116" s="14" t="n">
        <f aca="false">Prices!E117/Prices!E116-1</f>
        <v>-0.0163522260286394</v>
      </c>
      <c r="F116" s="14" t="n">
        <f aca="false">Prices!F117/Prices!F116-1</f>
        <v>0.0310991605390945</v>
      </c>
      <c r="G116" s="14" t="n">
        <f aca="false">Prices!G117/Prices!G116-1</f>
        <v>0.0860203293145536</v>
      </c>
      <c r="H116" s="14" t="n">
        <f aca="false">Prices!H117/Prices!H116-1</f>
        <v>0.00149888203137061</v>
      </c>
      <c r="I116" s="14" t="n">
        <f aca="false">Prices!I117/Prices!I116-1</f>
        <v>0.0107963623711869</v>
      </c>
      <c r="J116" s="14" t="n">
        <f aca="false">Prices!J117/Prices!J116-1</f>
        <v>-0.0148594140263424</v>
      </c>
      <c r="K116" s="14" t="n">
        <f aca="false">Prices!K117/Prices!K116-1</f>
        <v>0.00288917857302717</v>
      </c>
      <c r="L116" s="14" t="n">
        <f aca="false">Prices!L117/Prices!L116-1</f>
        <v>0.105052745071028</v>
      </c>
      <c r="M116" s="14" t="n">
        <f aca="false">Prices!M117/Prices!M116-1</f>
        <v>0.00168795950762557</v>
      </c>
      <c r="N116" s="14" t="n">
        <f aca="false">Prices!N117/Prices!N116-1</f>
        <v>0.0569485168374166</v>
      </c>
      <c r="O116" s="19" t="n">
        <f aca="false">Prices!O116/100/12</f>
        <v>0.00308333333333333</v>
      </c>
    </row>
    <row r="117" customFormat="false" ht="15" hidden="false" customHeight="false" outlineLevel="0" collapsed="false">
      <c r="A117" s="17" t="n">
        <f aca="false">Prices!A118</f>
        <v>46173</v>
      </c>
      <c r="B117" s="14" t="n">
        <f aca="false">Prices!B118/Prices!B117-1</f>
        <v>0.0518381609506808</v>
      </c>
      <c r="C117" s="14" t="n">
        <f aca="false">Prices!C118/Prices!C117-1</f>
        <v>0.0431684726871673</v>
      </c>
      <c r="D117" s="14" t="n">
        <f aca="false">Prices!D118/Prices!D117-1</f>
        <v>0.0161208263567179</v>
      </c>
      <c r="E117" s="14" t="n">
        <f aca="false">Prices!E118/Prices!E117-1</f>
        <v>-0.00895131457161247</v>
      </c>
      <c r="F117" s="14" t="n">
        <f aca="false">Prices!F118/Prices!F117-1</f>
        <v>0.0156007108435283</v>
      </c>
      <c r="G117" s="14" t="n">
        <f aca="false">Prices!G118/Prices!G117-1</f>
        <v>-0.00654009322437144</v>
      </c>
      <c r="H117" s="14" t="n">
        <f aca="false">Prices!H118/Prices!H117-1</f>
        <v>0.00275722340507745</v>
      </c>
      <c r="I117" s="14" t="n">
        <f aca="false">Prices!I118/Prices!I117-1</f>
        <v>0.00209167148921163</v>
      </c>
      <c r="J117" s="14" t="n">
        <f aca="false">Prices!J118/Prices!J117-1</f>
        <v>-0.0156591828591637</v>
      </c>
      <c r="K117" s="14" t="n">
        <f aca="false">Prices!K118/Prices!K117-1</f>
        <v>0.00317407135400916</v>
      </c>
      <c r="L117" s="14" t="n">
        <f aca="false">Prices!L118/Prices!L117-1</f>
        <v>0.0526257467927704</v>
      </c>
      <c r="M117" s="14" t="n">
        <f aca="false">Prices!M118/Prices!M117-1</f>
        <v>0.00293607647433936</v>
      </c>
      <c r="N117" s="14" t="n">
        <f aca="false">Prices!N118/Prices!N117-1</f>
        <v>0.0283646443750001</v>
      </c>
      <c r="O117" s="19" t="n">
        <f aca="false">Prices!O117/100/12</f>
        <v>0.00306666666666667</v>
      </c>
    </row>
    <row r="118" customFormat="false" ht="15" hidden="false" customHeight="false" outlineLevel="0" collapsed="false">
      <c r="A118" s="17" t="n">
        <f aca="false">Prices!A119</f>
        <v>46203</v>
      </c>
      <c r="B118" s="14" t="n">
        <f aca="false">Prices!B119/Prices!B118-1</f>
        <v>-0.00385348432188615</v>
      </c>
      <c r="C118" s="14" t="n">
        <f aca="false">Prices!C119/Prices!C118-1</f>
        <v>-0.00201976849609065</v>
      </c>
      <c r="D118" s="14" t="n">
        <f aca="false">Prices!D119/Prices!D118-1</f>
        <v>-0.00198833706814505</v>
      </c>
      <c r="E118" s="14" t="n">
        <f aca="false">Prices!E119/Prices!E118-1</f>
        <v>-0.0224408380870453</v>
      </c>
      <c r="F118" s="14" t="n">
        <f aca="false">Prices!F119/Prices!F118-1</f>
        <v>0.00741688823920561</v>
      </c>
      <c r="G118" s="14" t="n">
        <f aca="false">Prices!G119/Prices!G118-1</f>
        <v>0.016509262933893</v>
      </c>
      <c r="H118" s="14" t="n">
        <f aca="false">Prices!H119/Prices!H118-1</f>
        <v>0.00269087733306961</v>
      </c>
      <c r="I118" s="14" t="n">
        <f aca="false">Prices!I119/Prices!I118-1</f>
        <v>-0.00476961310011759</v>
      </c>
      <c r="J118" s="14" t="n">
        <f aca="false">Prices!J119/Prices!J118-1</f>
        <v>-0.116738755801585</v>
      </c>
      <c r="K118" s="14" t="n">
        <f aca="false">Prices!K119/Prices!K118-1</f>
        <v>0.00272442231752468</v>
      </c>
      <c r="L118" s="14" t="n">
        <f aca="false">Prices!L119/Prices!L118-1</f>
        <v>-0.0102925806852776</v>
      </c>
      <c r="M118" s="14" t="n">
        <f aca="false">Prices!M119/Prices!M118-1</f>
        <v>0.00254238383872063</v>
      </c>
      <c r="N118" s="14" t="n">
        <f aca="false">Prices!N119/Prices!N118-1</f>
        <v>-0.00158029394837267</v>
      </c>
      <c r="O118" s="19" t="n">
        <f aca="false">Prices!O118/100/12</f>
        <v>0.003075</v>
      </c>
    </row>
    <row r="119" customFormat="false" ht="15" hidden="false" customHeight="false" outlineLevel="0" collapsed="false">
      <c r="A119" s="17" t="n">
        <f aca="false">Prices!A120</f>
        <v>46234</v>
      </c>
      <c r="B119" s="14" t="n">
        <f aca="false">Prices!B120/Prices!B119-1</f>
        <v>-0.00494545384203993</v>
      </c>
      <c r="C119" s="14" t="n">
        <f aca="false">Prices!C120/Prices!C119-1</f>
        <v>-0.00884203877076717</v>
      </c>
      <c r="D119" s="14" t="n">
        <f aca="false">Prices!D120/Prices!D119-1</f>
        <v>-0.0157480100850647</v>
      </c>
      <c r="E119" s="14" t="n">
        <f aca="false">Prices!E120/Prices!E119-1</f>
        <v>-0.00938091639289951</v>
      </c>
      <c r="F119" s="14" t="n">
        <f aca="false">Prices!F120/Prices!F119-1</f>
        <v>-0.00420831141504485</v>
      </c>
      <c r="G119" s="14" t="n">
        <f aca="false">Prices!G120/Prices!G119-1</f>
        <v>0.0261329194624842</v>
      </c>
      <c r="H119" s="14" t="n">
        <f aca="false">Prices!H120/Prices!H119-1</f>
        <v>-0.012792857632515</v>
      </c>
      <c r="I119" s="14" t="n">
        <f aca="false">Prices!I120/Prices!I119-1</f>
        <v>-0.00719202412427866</v>
      </c>
      <c r="J119" s="14" t="n">
        <f aca="false">Prices!J120/Prices!J119-1</f>
        <v>0.00874051095906481</v>
      </c>
      <c r="K119" s="14" t="n">
        <f aca="false">Prices!K120/Prices!K119-1</f>
        <v>0.00337084463152126</v>
      </c>
      <c r="L119" s="14" t="n">
        <f aca="false">Prices!L120/Prices!L119-1</f>
        <v>0.000348223864244712</v>
      </c>
      <c r="M119" s="14" t="n">
        <f aca="false">Prices!M120/Prices!M119-1</f>
        <v>-0.0129650021932928</v>
      </c>
      <c r="N119" s="14" t="n">
        <f aca="false">Prices!N120/Prices!N119-1</f>
        <v>-0.00646554075215255</v>
      </c>
      <c r="O119" s="19" t="n">
        <f aca="false">Prices!O119/100/12</f>
        <v>0.003225</v>
      </c>
    </row>
    <row r="120" customFormat="false" ht="15" hidden="false" customHeight="false" outlineLevel="0" collapsed="false">
      <c r="A120" s="17" t="n">
        <f aca="false">Prices!A121</f>
        <v>46265</v>
      </c>
      <c r="B120" s="14" t="n">
        <f aca="false">Prices!B121/Prices!B120-1</f>
        <v>0.0269954662028116</v>
      </c>
      <c r="C120" s="14" t="n">
        <f aca="false">Prices!C121/Prices!C120-1</f>
        <v>0.0325685806181315</v>
      </c>
      <c r="D120" s="14" t="n">
        <f aca="false">Prices!D121/Prices!D120-1</f>
        <v>0.030127678189882</v>
      </c>
      <c r="E120" s="14" t="n">
        <f aca="false">Prices!E121/Prices!E120-1</f>
        <v>0.0497835511305071</v>
      </c>
      <c r="F120" s="14" t="n">
        <f aca="false">Prices!F121/Prices!F120-1</f>
        <v>0.0274696777601691</v>
      </c>
      <c r="G120" s="14" t="n">
        <f aca="false">Prices!G121/Prices!G120-1</f>
        <v>-0.0253662806331475</v>
      </c>
      <c r="H120" s="14" t="n">
        <f aca="false">Prices!H121/Prices!H120-1</f>
        <v>0.00363987879000893</v>
      </c>
      <c r="I120" s="14" t="n">
        <f aca="false">Prices!I121/Prices!I120-1</f>
        <v>0.00139135698196013</v>
      </c>
      <c r="J120" s="14" t="n">
        <f aca="false">Prices!J121/Prices!J120-1</f>
        <v>0.0989891190492087</v>
      </c>
      <c r="K120" s="14" t="n">
        <f aca="false">Prices!K121/Prices!K120-1</f>
        <v>0.0027678373738087</v>
      </c>
      <c r="L120" s="14" t="n">
        <f aca="false">Prices!L121/Prices!L120-1</f>
        <v>0.0267993599170142</v>
      </c>
      <c r="M120" s="14" t="n">
        <f aca="false">Prices!M121/Prices!M120-1</f>
        <v>0.00389551322136872</v>
      </c>
      <c r="N120" s="14" t="n">
        <f aca="false">Prices!N121/Prices!N120-1</f>
        <v>0.017656498873063</v>
      </c>
      <c r="O120" s="19" t="n">
        <f aca="false">Prices!O120/100/12</f>
        <v>0.00319166666666667</v>
      </c>
    </row>
    <row r="121" customFormat="false" ht="15" hidden="false" customHeight="false" outlineLevel="0" collapsed="false">
      <c r="A121" s="17" t="n">
        <f aca="false">Prices!A122</f>
        <v>46295</v>
      </c>
      <c r="B121" s="14" t="n">
        <f aca="false">Prices!B122/Prices!B121-1</f>
        <v>-0.007842216918725</v>
      </c>
      <c r="C121" s="14" t="n">
        <f aca="false">Prices!C122/Prices!C121-1</f>
        <v>-0.0292836563030705</v>
      </c>
      <c r="D121" s="14" t="n">
        <f aca="false">Prices!D122/Prices!D121-1</f>
        <v>-0.0181250048526742</v>
      </c>
      <c r="E121" s="14" t="n">
        <f aca="false">Prices!E122/Prices!E121-1</f>
        <v>-0.0639175016473583</v>
      </c>
      <c r="F121" s="14" t="n">
        <f aca="false">Prices!F122/Prices!F121-1</f>
        <v>0.0318765536310255</v>
      </c>
      <c r="G121" s="14" t="n">
        <f aca="false">Prices!G122/Prices!G121-1</f>
        <v>-0.0625532026961485</v>
      </c>
      <c r="H121" s="14" t="n">
        <f aca="false">Prices!H122/Prices!H121-1</f>
        <v>-0.0255185299877322</v>
      </c>
      <c r="I121" s="14" t="n">
        <f aca="false">Prices!I122/Prices!I121-1</f>
        <v>-0.0272132770766644</v>
      </c>
      <c r="J121" s="14" t="n">
        <f aca="false">Prices!J122/Prices!J121-1</f>
        <v>-0.0670170955323987</v>
      </c>
      <c r="K121" s="14" t="n">
        <f aca="false">Prices!K122/Prices!K121-1</f>
        <v>0.002845186523039</v>
      </c>
      <c r="L121" s="14" t="n">
        <f aca="false">Prices!L122/Prices!L121-1</f>
        <v>-0.00329341713632148</v>
      </c>
      <c r="M121" s="14" t="n">
        <f aca="false">Prices!M122/Prices!M121-1</f>
        <v>-0.0260937322589384</v>
      </c>
      <c r="N121" s="14" t="n">
        <f aca="false">Prices!N122/Prices!N121-1</f>
        <v>-0.0174935739176438</v>
      </c>
      <c r="O121" s="19" t="n">
        <f aca="false">Prices!O121/100/12</f>
        <v>0.00325833333333333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8"/>
  </cols>
  <sheetData>
    <row r="1" customFormat="false" ht="16.15" hidden="false" customHeight="false" outlineLevel="0" collapsed="false">
      <c r="A1" s="1" t="s">
        <v>82</v>
      </c>
    </row>
    <row r="3" customFormat="false" ht="28.35" hidden="false" customHeight="false" outlineLevel="0" collapsed="false">
      <c r="A3" s="5" t="s">
        <v>31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</row>
    <row r="4" customFormat="false" ht="15" hidden="false" customHeight="false" outlineLevel="0" collapsed="false">
      <c r="A4" s="0" t="s">
        <v>44</v>
      </c>
      <c r="B4" s="0" t="s">
        <v>45</v>
      </c>
      <c r="C4" s="14" t="n">
        <f aca="false">AVERAGE(Returns!$B$2:$B$121)*12</f>
        <v>0.150329999843249</v>
      </c>
      <c r="D4" s="14" t="n">
        <f aca="false">EXP(SUMPRODUCT(LN(1+Returns!$B$2:$B$121))*12/COUNT(Returns!$B$2:$B$121))-1</f>
        <v>0.147007920969921</v>
      </c>
      <c r="E4" s="14" t="n">
        <f aca="false">_xlfn.STDEV.S(Returns!$B$2:$B$121)*SQRT(12)</f>
        <v>0.157733616782963</v>
      </c>
      <c r="F4" s="20" t="n">
        <f aca="false">(C4-AVERAGE(Returns!$O$2:$O$121)*12)/E4</f>
        <v>0.795439186662972</v>
      </c>
      <c r="G4" s="0" t="n">
        <f aca="false">COUNT(Returns!$B$2:$B$121)</f>
        <v>120</v>
      </c>
    </row>
    <row r="5" customFormat="false" ht="15" hidden="false" customHeight="false" outlineLevel="0" collapsed="false">
      <c r="A5" s="0" t="s">
        <v>47</v>
      </c>
      <c r="B5" s="0" t="s">
        <v>48</v>
      </c>
      <c r="C5" s="14" t="n">
        <f aca="false">AVERAGE(Returns!$C$2:$C$121)*12</f>
        <v>0.105335433905509</v>
      </c>
      <c r="D5" s="14" t="n">
        <f aca="false">EXP(SUMPRODUCT(LN(1+Returns!$C$2:$C$121))*12/COUNT(Returns!$C$2:$C$121))-1</f>
        <v>0.0973723334888246</v>
      </c>
      <c r="E5" s="14" t="n">
        <f aca="false">_xlfn.STDEV.S(Returns!$C$2:$C$121)*SQRT(12)</f>
        <v>0.155415779259085</v>
      </c>
      <c r="F5" s="20" t="n">
        <f aca="false">(C5-AVERAGE(Returns!$O$2:$O$121)*12)/E5</f>
        <v>0.517791271189759</v>
      </c>
      <c r="G5" s="0" t="n">
        <f aca="false">COUNT(Returns!$C$2:$C$121)</f>
        <v>120</v>
      </c>
    </row>
    <row r="6" customFormat="false" ht="15" hidden="false" customHeight="false" outlineLevel="0" collapsed="false">
      <c r="A6" s="0" t="s">
        <v>49</v>
      </c>
      <c r="B6" s="0" t="s">
        <v>50</v>
      </c>
      <c r="C6" s="14" t="n">
        <f aca="false">AVERAGE(Returns!$D$2:$D$121)*12</f>
        <v>0.0853393269346759</v>
      </c>
      <c r="D6" s="14" t="n">
        <f aca="false">EXP(SUMPRODUCT(LN(1+Returns!$D$2:$D$121))*12/COUNT(Returns!$D$2:$D$121))-1</f>
        <v>0.075849095146364</v>
      </c>
      <c r="E6" s="14" t="n">
        <f aca="false">_xlfn.STDEV.S(Returns!$D$2:$D$121)*SQRT(12)</f>
        <v>0.15518417406196</v>
      </c>
      <c r="F6" s="20" t="n">
        <f aca="false">(C6-AVERAGE(Returns!$O$2:$O$121)*12)/E6</f>
        <v>0.389710015858507</v>
      </c>
      <c r="G6" s="0" t="n">
        <f aca="false">COUNT(Returns!$D$2:$D$121)</f>
        <v>120</v>
      </c>
    </row>
    <row r="7" customFormat="false" ht="15" hidden="false" customHeight="false" outlineLevel="0" collapsed="false">
      <c r="A7" s="0" t="s">
        <v>51</v>
      </c>
      <c r="B7" s="0" t="s">
        <v>52</v>
      </c>
      <c r="C7" s="14" t="n">
        <f aca="false">AVERAGE(Returns!$E$2:$E$121)*12</f>
        <v>0.0965671280271047</v>
      </c>
      <c r="D7" s="14" t="n">
        <f aca="false">EXP(SUMPRODUCT(LN(1+Returns!$E$2:$E$121))*12/COUNT(Returns!$E$2:$E$121))-1</f>
        <v>0.0835885191209336</v>
      </c>
      <c r="E7" s="14" t="n">
        <f aca="false">_xlfn.STDEV.S(Returns!$E$2:$E$121)*SQRT(12)</f>
        <v>0.18025163022837</v>
      </c>
      <c r="F7" s="20" t="n">
        <f aca="false">(C7-AVERAGE(Returns!$O$2:$O$121)*12)/E7</f>
        <v>0.397802937683607</v>
      </c>
      <c r="G7" s="0" t="n">
        <f aca="false">COUNT(Returns!$E$2:$E$121)</f>
        <v>120</v>
      </c>
    </row>
    <row r="8" customFormat="false" ht="15" hidden="false" customHeight="false" outlineLevel="0" collapsed="false">
      <c r="A8" s="0" t="s">
        <v>53</v>
      </c>
      <c r="B8" s="0" t="s">
        <v>54</v>
      </c>
      <c r="C8" s="14" t="n">
        <f aca="false">AVERAGE(Returns!$F$2:$F$121)*12</f>
        <v>0.0732277422165585</v>
      </c>
      <c r="D8" s="14" t="n">
        <f aca="false">EXP(SUMPRODUCT(LN(1+Returns!$F$2:$F$121))*12/COUNT(Returns!$F$2:$F$121))-1</f>
        <v>0.0589072528983312</v>
      </c>
      <c r="E8" s="14" t="n">
        <f aca="false">_xlfn.STDEV.S(Returns!$F$2:$F$121)*SQRT(12)</f>
        <v>0.17631771284086</v>
      </c>
      <c r="F8" s="20" t="n">
        <f aca="false">(C8-AVERAGE(Returns!$O$2:$O$121)*12)/E8</f>
        <v>0.274307336666803</v>
      </c>
      <c r="G8" s="0" t="n">
        <f aca="false">COUNT(Returns!$F$2:$F$121)</f>
        <v>120</v>
      </c>
    </row>
    <row r="9" customFormat="false" ht="15" hidden="false" customHeight="false" outlineLevel="0" collapsed="false">
      <c r="A9" s="0" t="s">
        <v>55</v>
      </c>
      <c r="B9" s="0" t="s">
        <v>56</v>
      </c>
      <c r="C9" s="14" t="n">
        <f aca="false">AVERAGE(Returns!$G$2:$G$121)*12</f>
        <v>0.0589504905280933</v>
      </c>
      <c r="D9" s="14" t="n">
        <f aca="false">EXP(SUMPRODUCT(LN(1+Returns!$G$2:$G$121))*12/COUNT(Returns!$G$2:$G$121))-1</f>
        <v>0.0440440293617721</v>
      </c>
      <c r="E9" s="14" t="n">
        <f aca="false">_xlfn.STDEV.S(Returns!$G$2:$G$121)*SQRT(12)</f>
        <v>0.177000423346103</v>
      </c>
      <c r="F9" s="20" t="n">
        <f aca="false">(C9-AVERAGE(Returns!$O$2:$O$121)*12)/E9</f>
        <v>0.192587056480868</v>
      </c>
      <c r="G9" s="0" t="n">
        <f aca="false">COUNT(Returns!$G$2:$G$121)</f>
        <v>120</v>
      </c>
    </row>
    <row r="10" customFormat="false" ht="15" hidden="false" customHeight="false" outlineLevel="0" collapsed="false">
      <c r="A10" s="0" t="s">
        <v>58</v>
      </c>
      <c r="B10" s="0" t="s">
        <v>59</v>
      </c>
      <c r="C10" s="14" t="n">
        <f aca="false">AVERAGE(Returns!$H$2:$H$121)*12</f>
        <v>0.013103423565622</v>
      </c>
      <c r="D10" s="14" t="n">
        <f aca="false">EXP(SUMPRODUCT(LN(1+Returns!$H$2:$H$121))*12/COUNT(Returns!$H$2:$H$121))-1</f>
        <v>0.0118006831390725</v>
      </c>
      <c r="E10" s="14" t="n">
        <f aca="false">_xlfn.STDEV.S(Returns!$H$2:$H$121)*SQRT(12)</f>
        <v>0.0524933109808454</v>
      </c>
      <c r="F10" s="20" t="n">
        <f aca="false">(C10-AVERAGE(Returns!$O$2:$O$121)*12)/E10</f>
        <v>-0.224010949483999</v>
      </c>
      <c r="G10" s="0" t="n">
        <f aca="false">COUNT(Returns!$H$2:$H$121)</f>
        <v>120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14" t="n">
        <f aca="false">AVERAGE(Returns!$I$2:$I$121)*12</f>
        <v>0.0218082134744372</v>
      </c>
      <c r="D11" s="14" t="n">
        <f aca="false">EXP(SUMPRODUCT(LN(1+Returns!$I$2:$I$121))*12/COUNT(Returns!$I$2:$I$121))-1</f>
        <v>0.0207360467883531</v>
      </c>
      <c r="E11" s="14" t="n">
        <f aca="false">_xlfn.STDEV.S(Returns!$I$2:$I$121)*SQRT(12)</f>
        <v>0.0503757200410267</v>
      </c>
      <c r="F11" s="20" t="n">
        <f aca="false">(C11-AVERAGE(Returns!$O$2:$O$121)*12)/E11</f>
        <v>-0.0606301314020984</v>
      </c>
      <c r="G11" s="0" t="n">
        <f aca="false">COUNT(Returns!$I$2:$I$121)</f>
        <v>120</v>
      </c>
    </row>
    <row r="12" customFormat="false" ht="15" hidden="false" customHeight="false" outlineLevel="0" collapsed="false">
      <c r="A12" s="0" t="s">
        <v>63</v>
      </c>
      <c r="B12" s="0" t="s">
        <v>64</v>
      </c>
      <c r="C12" s="14" t="n">
        <f aca="false">AVERAGE(Returns!$J$2:$J$121)*12</f>
        <v>0.124644155992754</v>
      </c>
      <c r="D12" s="14" t="n">
        <f aca="false">EXP(SUMPRODUCT(LN(1+Returns!$J$2:$J$121))*12/COUNT(Returns!$J$2:$J$121))-1</f>
        <v>0.118963556448049</v>
      </c>
      <c r="E12" s="14" t="n">
        <f aca="false">_xlfn.STDEV.S(Returns!$J$2:$J$121)*SQRT(12)</f>
        <v>0.154531193657385</v>
      </c>
      <c r="F12" s="20" t="n">
        <f aca="false">(C12-AVERAGE(Returns!$O$2:$O$121)*12)/E12</f>
        <v>0.645705592710181</v>
      </c>
      <c r="G12" s="0" t="n">
        <f aca="false">COUNT(Returns!$J$2:$J$121)</f>
        <v>120</v>
      </c>
    </row>
    <row r="13" customFormat="false" ht="15" hidden="false" customHeight="false" outlineLevel="0" collapsed="false">
      <c r="A13" s="0" t="s">
        <v>65</v>
      </c>
      <c r="B13" s="0" t="s">
        <v>66</v>
      </c>
      <c r="C13" s="14" t="n">
        <f aca="false">AVERAGE(Returns!$K$2:$K$121)*12</f>
        <v>0.0227279736929669</v>
      </c>
      <c r="D13" s="14" t="n">
        <f aca="false">EXP(SUMPRODUCT(LN(1+Returns!$K$2:$K$121))*12/COUNT(Returns!$K$2:$K$121))-1</f>
        <v>0.0229505614676409</v>
      </c>
      <c r="E13" s="14" t="n">
        <f aca="false">_xlfn.STDEV.S(Returns!$K$2:$K$121)*SQRT(12)</f>
        <v>0.00556945634330302</v>
      </c>
      <c r="F13" s="20" t="n">
        <f aca="false">(C13-AVERAGE(Returns!$O$2:$O$121)*12)/E13</f>
        <v>-0.383255774973397</v>
      </c>
      <c r="G13" s="0" t="n">
        <f aca="false">COUNT(Returns!$K$2:$K$121)</f>
        <v>120</v>
      </c>
    </row>
    <row r="14" customFormat="false" ht="15" hidden="false" customHeight="false" outlineLevel="0" collapsed="false">
      <c r="A14" s="0" t="s">
        <v>77</v>
      </c>
      <c r="B14" s="0" t="s">
        <v>89</v>
      </c>
      <c r="C14" s="14" t="n">
        <f aca="false">AVERAGE(Returns!$L$2:$L$121)*12</f>
        <v>0.154318014590331</v>
      </c>
      <c r="D14" s="14" t="n">
        <f aca="false">EXP(SUMPRODUCT(LN(1+Returns!$L$2:$L$121))*12/COUNT(Returns!$L$2:$L$121))-1</f>
        <v>0.152338823195531</v>
      </c>
      <c r="E14" s="14" t="n">
        <f aca="false">_xlfn.STDEV.S(Returns!$L$2:$L$121)*SQRT(12)</f>
        <v>0.153297989120046</v>
      </c>
      <c r="F14" s="20" t="n">
        <f aca="false">(C14-AVERAGE(Returns!$O$2:$O$121)*12)/E14</f>
        <v>0.844469750278043</v>
      </c>
      <c r="G14" s="0" t="n">
        <f aca="false">COUNT(Returns!$L$2:$L$121)</f>
        <v>120</v>
      </c>
    </row>
    <row r="15" customFormat="false" ht="15" hidden="false" customHeight="false" outlineLevel="0" collapsed="false">
      <c r="A15" s="0" t="s">
        <v>78</v>
      </c>
      <c r="B15" s="0" t="s">
        <v>90</v>
      </c>
      <c r="C15" s="14" t="n">
        <f aca="false">AVERAGE(Returns!$M$2:$M$121)*12</f>
        <v>0.0125469818987961</v>
      </c>
      <c r="D15" s="14" t="n">
        <f aca="false">EXP(SUMPRODUCT(LN(1+Returns!$M$2:$M$121))*12/COUNT(Returns!$M$2:$M$121))-1</f>
        <v>0.0112494160237233</v>
      </c>
      <c r="E15" s="14" t="n">
        <f aca="false">_xlfn.STDEV.S(Returns!$M$2:$M$121)*SQRT(12)</f>
        <v>0.0522880953051313</v>
      </c>
      <c r="F15" s="20" t="n">
        <f aca="false">(C15-AVERAGE(Returns!$O$2:$O$121)*12)/E15</f>
        <v>-0.235531970123137</v>
      </c>
      <c r="G15" s="0" t="n">
        <f aca="false">COUNT(Returns!$M$2:$M$121)</f>
        <v>120</v>
      </c>
    </row>
    <row r="16" customFormat="false" ht="15" hidden="false" customHeight="false" outlineLevel="0" collapsed="false">
      <c r="A16" s="0" t="s">
        <v>79</v>
      </c>
      <c r="B16" s="0" t="s">
        <v>91</v>
      </c>
      <c r="C16" s="14" t="n">
        <f aca="false">AVERAGE(Returns!$N$2:$N$121)*12</f>
        <v>0.0817372648136996</v>
      </c>
      <c r="D16" s="14" t="n">
        <f aca="false">EXP(SUMPRODUCT(LN(1+Returns!$N$2:$N$121))*12/COUNT(Returns!$N$2:$N$121))-1</f>
        <v>0.0795062970446534</v>
      </c>
      <c r="E16" s="14" t="n">
        <f aca="false">_xlfn.STDEV.S(Returns!$N$2:$N$121)*SQRT(12)</f>
        <v>0.100088970384199</v>
      </c>
      <c r="F16" s="20" t="n">
        <f aca="false">(C16-AVERAGE(Returns!$O$2:$O$121)*12)/E16</f>
        <v>0.568242080974372</v>
      </c>
      <c r="G16" s="0" t="n">
        <f aca="false">COUNT(Returns!$N$2:$N$121)</f>
        <v>120</v>
      </c>
    </row>
    <row r="18" customFormat="false" ht="15" hidden="false" customHeight="false" outlineLevel="0" collapsed="false">
      <c r="A18" s="0" t="s">
        <v>92</v>
      </c>
      <c r="C18" s="14" t="n">
        <f aca="false">AVERAGE(Returns!$O$2:$O$121)*12</f>
        <v>0.0248625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11" min="2" style="0" width="10"/>
  </cols>
  <sheetData>
    <row r="1" customFormat="false" ht="16.15" hidden="false" customHeight="false" outlineLevel="0" collapsed="false">
      <c r="A1" s="1" t="s">
        <v>93</v>
      </c>
    </row>
    <row r="3" customFormat="false" ht="15" hidden="false" customHeight="false" outlineLevel="0" collapsed="false">
      <c r="A3" s="5"/>
      <c r="B3" s="5" t="s">
        <v>44</v>
      </c>
      <c r="C3" s="5" t="s">
        <v>47</v>
      </c>
      <c r="D3" s="5" t="s">
        <v>49</v>
      </c>
      <c r="E3" s="5" t="s">
        <v>51</v>
      </c>
      <c r="F3" s="5" t="s">
        <v>53</v>
      </c>
      <c r="G3" s="5" t="s">
        <v>55</v>
      </c>
      <c r="H3" s="5" t="s">
        <v>58</v>
      </c>
      <c r="I3" s="5" t="s">
        <v>61</v>
      </c>
      <c r="J3" s="5" t="s">
        <v>63</v>
      </c>
      <c r="K3" s="5" t="s">
        <v>65</v>
      </c>
    </row>
    <row r="4" customFormat="false" ht="15" hidden="false" customHeight="false" outlineLevel="0" collapsed="false">
      <c r="A4" s="2" t="s">
        <v>44</v>
      </c>
      <c r="B4" s="20" t="n">
        <f aca="false">CORREL(Returns!$B$2:$B$121,Returns!$B$2:$B$121)</f>
        <v>1</v>
      </c>
      <c r="C4" s="20" t="n">
        <f aca="false">CORREL(Returns!$B$2:$B$121,Returns!$C$2:$C$121)</f>
        <v>0.849535489980423</v>
      </c>
      <c r="D4" s="20" t="n">
        <f aca="false">CORREL(Returns!$B$2:$B$121,Returns!$D$2:$D$121)</f>
        <v>0.688589921697631</v>
      </c>
      <c r="E4" s="20" t="n">
        <f aca="false">CORREL(Returns!$B$2:$B$121,Returns!$E$2:$E$121)</f>
        <v>0.409216822804717</v>
      </c>
      <c r="F4" s="20" t="n">
        <f aca="false">CORREL(Returns!$B$2:$B$121,Returns!$F$2:$F$121)</f>
        <v>0.533649163421073</v>
      </c>
      <c r="G4" s="20" t="n">
        <f aca="false">CORREL(Returns!$B$2:$B$121,Returns!$G$2:$G$121)</f>
        <v>0.78395142594653</v>
      </c>
      <c r="H4" s="20" t="n">
        <f aca="false">CORREL(Returns!$B$2:$B$121,Returns!$H$2:$H$121)</f>
        <v>0.438135366133467</v>
      </c>
      <c r="I4" s="20" t="n">
        <f aca="false">CORREL(Returns!$B$2:$B$121,Returns!$I$2:$I$121)</f>
        <v>0.529724994383846</v>
      </c>
      <c r="J4" s="20" t="n">
        <f aca="false">CORREL(Returns!$B$2:$B$121,Returns!$J$2:$J$121)</f>
        <v>0.122602122309521</v>
      </c>
      <c r="K4" s="20" t="n">
        <f aca="false">CORREL(Returns!$B$2:$B$121,Returns!$K$2:$K$121)</f>
        <v>-0.0151860661304658</v>
      </c>
    </row>
    <row r="5" customFormat="false" ht="15" hidden="false" customHeight="false" outlineLevel="0" collapsed="false">
      <c r="A5" s="2" t="s">
        <v>47</v>
      </c>
      <c r="B5" s="20" t="n">
        <f aca="false">CORREL(Returns!$C$2:$C$121,Returns!$B$2:$B$121)</f>
        <v>0.849535489980423</v>
      </c>
      <c r="C5" s="20" t="n">
        <f aca="false">CORREL(Returns!$C$2:$C$121,Returns!$C$2:$C$121)</f>
        <v>1</v>
      </c>
      <c r="D5" s="20" t="n">
        <f aca="false">CORREL(Returns!$C$2:$C$121,Returns!$D$2:$D$121)</f>
        <v>0.817458456816691</v>
      </c>
      <c r="E5" s="20" t="n">
        <f aca="false">CORREL(Returns!$C$2:$C$121,Returns!$E$2:$E$121)</f>
        <v>0.37201717430401</v>
      </c>
      <c r="F5" s="20" t="n">
        <f aca="false">CORREL(Returns!$C$2:$C$121,Returns!$F$2:$F$121)</f>
        <v>0.548450999860378</v>
      </c>
      <c r="G5" s="20" t="n">
        <f aca="false">CORREL(Returns!$C$2:$C$121,Returns!$G$2:$G$121)</f>
        <v>0.757385277362616</v>
      </c>
      <c r="H5" s="20" t="n">
        <f aca="false">CORREL(Returns!$C$2:$C$121,Returns!$H$2:$H$121)</f>
        <v>0.537603435259116</v>
      </c>
      <c r="I5" s="20" t="n">
        <f aca="false">CORREL(Returns!$C$2:$C$121,Returns!$I$2:$I$121)</f>
        <v>0.570483419120559</v>
      </c>
      <c r="J5" s="20" t="n">
        <f aca="false">CORREL(Returns!$C$2:$C$121,Returns!$J$2:$J$121)</f>
        <v>0.325995927016098</v>
      </c>
      <c r="K5" s="20" t="n">
        <f aca="false">CORREL(Returns!$C$2:$C$121,Returns!$K$2:$K$121)</f>
        <v>0.0169818842227027</v>
      </c>
    </row>
    <row r="6" customFormat="false" ht="15" hidden="false" customHeight="false" outlineLevel="0" collapsed="false">
      <c r="A6" s="2" t="s">
        <v>49</v>
      </c>
      <c r="B6" s="20" t="n">
        <f aca="false">CORREL(Returns!$D$2:$D$121,Returns!$B$2:$B$121)</f>
        <v>0.688589921697631</v>
      </c>
      <c r="C6" s="20" t="n">
        <f aca="false">CORREL(Returns!$D$2:$D$121,Returns!$C$2:$C$121)</f>
        <v>0.817458456816691</v>
      </c>
      <c r="D6" s="20" t="n">
        <f aca="false">CORREL(Returns!$D$2:$D$121,Returns!$D$2:$D$121)</f>
        <v>1</v>
      </c>
      <c r="E6" s="20" t="n">
        <f aca="false">CORREL(Returns!$D$2:$D$121,Returns!$E$2:$E$121)</f>
        <v>0.318025868289519</v>
      </c>
      <c r="F6" s="20" t="n">
        <f aca="false">CORREL(Returns!$D$2:$D$121,Returns!$F$2:$F$121)</f>
        <v>0.490874178633448</v>
      </c>
      <c r="G6" s="20" t="n">
        <f aca="false">CORREL(Returns!$D$2:$D$121,Returns!$G$2:$G$121)</f>
        <v>0.581297873989</v>
      </c>
      <c r="H6" s="20" t="n">
        <f aca="false">CORREL(Returns!$D$2:$D$121,Returns!$H$2:$H$121)</f>
        <v>0.470691920471056</v>
      </c>
      <c r="I6" s="20" t="n">
        <f aca="false">CORREL(Returns!$D$2:$D$121,Returns!$I$2:$I$121)</f>
        <v>0.444788736691329</v>
      </c>
      <c r="J6" s="20" t="n">
        <f aca="false">CORREL(Returns!$D$2:$D$121,Returns!$J$2:$J$121)</f>
        <v>0.374280277266885</v>
      </c>
      <c r="K6" s="20" t="n">
        <f aca="false">CORREL(Returns!$D$2:$D$121,Returns!$K$2:$K$121)</f>
        <v>0.0234529847392753</v>
      </c>
    </row>
    <row r="7" customFormat="false" ht="15" hidden="false" customHeight="false" outlineLevel="0" collapsed="false">
      <c r="A7" s="2" t="s">
        <v>51</v>
      </c>
      <c r="B7" s="20" t="n">
        <f aca="false">CORREL(Returns!$E$2:$E$121,Returns!$B$2:$B$121)</f>
        <v>0.409216822804717</v>
      </c>
      <c r="C7" s="20" t="n">
        <f aca="false">CORREL(Returns!$E$2:$E$121,Returns!$C$2:$C$121)</f>
        <v>0.37201717430401</v>
      </c>
      <c r="D7" s="20" t="n">
        <f aca="false">CORREL(Returns!$E$2:$E$121,Returns!$D$2:$D$121)</f>
        <v>0.318025868289519</v>
      </c>
      <c r="E7" s="20" t="n">
        <f aca="false">CORREL(Returns!$E$2:$E$121,Returns!$E$2:$E$121)</f>
        <v>1</v>
      </c>
      <c r="F7" s="20" t="n">
        <f aca="false">CORREL(Returns!$E$2:$E$121,Returns!$F$2:$F$121)</f>
        <v>0.335565723822042</v>
      </c>
      <c r="G7" s="20" t="n">
        <f aca="false">CORREL(Returns!$E$2:$E$121,Returns!$G$2:$G$121)</f>
        <v>0.354559284480904</v>
      </c>
      <c r="H7" s="20" t="n">
        <f aca="false">CORREL(Returns!$E$2:$E$121,Returns!$H$2:$H$121)</f>
        <v>0.042345168877172</v>
      </c>
      <c r="I7" s="20" t="n">
        <f aca="false">CORREL(Returns!$E$2:$E$121,Returns!$I$2:$I$121)</f>
        <v>0.187596270603153</v>
      </c>
      <c r="J7" s="20" t="n">
        <f aca="false">CORREL(Returns!$E$2:$E$121,Returns!$J$2:$J$121)</f>
        <v>0.0124699955342036</v>
      </c>
      <c r="K7" s="20" t="n">
        <f aca="false">CORREL(Returns!$E$2:$E$121,Returns!$K$2:$K$121)</f>
        <v>-0.194802458045688</v>
      </c>
    </row>
    <row r="8" customFormat="false" ht="15" hidden="false" customHeight="false" outlineLevel="0" collapsed="false">
      <c r="A8" s="2" t="s">
        <v>53</v>
      </c>
      <c r="B8" s="20" t="n">
        <f aca="false">CORREL(Returns!$F$2:$F$121,Returns!$B$2:$B$121)</f>
        <v>0.533649163421073</v>
      </c>
      <c r="C8" s="20" t="n">
        <f aca="false">CORREL(Returns!$F$2:$F$121,Returns!$C$2:$C$121)</f>
        <v>0.548450999860378</v>
      </c>
      <c r="D8" s="20" t="n">
        <f aca="false">CORREL(Returns!$F$2:$F$121,Returns!$D$2:$D$121)</f>
        <v>0.490874178633448</v>
      </c>
      <c r="E8" s="20" t="n">
        <f aca="false">CORREL(Returns!$F$2:$F$121,Returns!$E$2:$E$121)</f>
        <v>0.335565723822042</v>
      </c>
      <c r="F8" s="20" t="n">
        <f aca="false">CORREL(Returns!$F$2:$F$121,Returns!$F$2:$F$121)</f>
        <v>1</v>
      </c>
      <c r="G8" s="20" t="n">
        <f aca="false">CORREL(Returns!$F$2:$F$121,Returns!$G$2:$G$121)</f>
        <v>0.469697848430531</v>
      </c>
      <c r="H8" s="20" t="n">
        <f aca="false">CORREL(Returns!$F$2:$F$121,Returns!$H$2:$H$121)</f>
        <v>0.170125685763302</v>
      </c>
      <c r="I8" s="20" t="n">
        <f aca="false">CORREL(Returns!$F$2:$F$121,Returns!$I$2:$I$121)</f>
        <v>0.286643974047291</v>
      </c>
      <c r="J8" s="20" t="n">
        <f aca="false">CORREL(Returns!$F$2:$F$121,Returns!$J$2:$J$121)</f>
        <v>0.119106010163684</v>
      </c>
      <c r="K8" s="20" t="n">
        <f aca="false">CORREL(Returns!$F$2:$F$121,Returns!$K$2:$K$121)</f>
        <v>-0.0720709039107069</v>
      </c>
    </row>
    <row r="9" customFormat="false" ht="15" hidden="false" customHeight="false" outlineLevel="0" collapsed="false">
      <c r="A9" s="2" t="s">
        <v>55</v>
      </c>
      <c r="B9" s="20" t="n">
        <f aca="false">CORREL(Returns!$G$2:$G$121,Returns!$B$2:$B$121)</f>
        <v>0.78395142594653</v>
      </c>
      <c r="C9" s="20" t="n">
        <f aca="false">CORREL(Returns!$G$2:$G$121,Returns!$C$2:$C$121)</f>
        <v>0.757385277362616</v>
      </c>
      <c r="D9" s="20" t="n">
        <f aca="false">CORREL(Returns!$G$2:$G$121,Returns!$D$2:$D$121)</f>
        <v>0.581297873989</v>
      </c>
      <c r="E9" s="20" t="n">
        <f aca="false">CORREL(Returns!$G$2:$G$121,Returns!$E$2:$E$121)</f>
        <v>0.354559284480904</v>
      </c>
      <c r="F9" s="20" t="n">
        <f aca="false">CORREL(Returns!$G$2:$G$121,Returns!$F$2:$F$121)</f>
        <v>0.469697848430531</v>
      </c>
      <c r="G9" s="20" t="n">
        <f aca="false">CORREL(Returns!$G$2:$G$121,Returns!$G$2:$G$121)</f>
        <v>1</v>
      </c>
      <c r="H9" s="20" t="n">
        <f aca="false">CORREL(Returns!$G$2:$G$121,Returns!$H$2:$H$121)</f>
        <v>0.606662175123569</v>
      </c>
      <c r="I9" s="20" t="n">
        <f aca="false">CORREL(Returns!$G$2:$G$121,Returns!$I$2:$I$121)</f>
        <v>0.662829354238036</v>
      </c>
      <c r="J9" s="20" t="n">
        <f aca="false">CORREL(Returns!$G$2:$G$121,Returns!$J$2:$J$121)</f>
        <v>0.210508970722841</v>
      </c>
      <c r="K9" s="20" t="n">
        <f aca="false">CORREL(Returns!$G$2:$G$121,Returns!$K$2:$K$121)</f>
        <v>-0.0336820401656369</v>
      </c>
    </row>
    <row r="10" customFormat="false" ht="15" hidden="false" customHeight="false" outlineLevel="0" collapsed="false">
      <c r="A10" s="2" t="s">
        <v>58</v>
      </c>
      <c r="B10" s="20" t="n">
        <f aca="false">CORREL(Returns!$H$2:$H$121,Returns!$B$2:$B$121)</f>
        <v>0.438135366133467</v>
      </c>
      <c r="C10" s="20" t="n">
        <f aca="false">CORREL(Returns!$H$2:$H$121,Returns!$C$2:$C$121)</f>
        <v>0.537603435259116</v>
      </c>
      <c r="D10" s="20" t="n">
        <f aca="false">CORREL(Returns!$H$2:$H$121,Returns!$D$2:$D$121)</f>
        <v>0.470691920471056</v>
      </c>
      <c r="E10" s="20" t="n">
        <f aca="false">CORREL(Returns!$H$2:$H$121,Returns!$E$2:$E$121)</f>
        <v>0.042345168877172</v>
      </c>
      <c r="F10" s="20" t="n">
        <f aca="false">CORREL(Returns!$H$2:$H$121,Returns!$F$2:$F$121)</f>
        <v>0.170125685763302</v>
      </c>
      <c r="G10" s="20" t="n">
        <f aca="false">CORREL(Returns!$H$2:$H$121,Returns!$G$2:$G$121)</f>
        <v>0.606662175123569</v>
      </c>
      <c r="H10" s="20" t="n">
        <f aca="false">CORREL(Returns!$H$2:$H$121,Returns!$H$2:$H$121)</f>
        <v>1</v>
      </c>
      <c r="I10" s="20" t="n">
        <f aca="false">CORREL(Returns!$H$2:$H$121,Returns!$I$2:$I$121)</f>
        <v>0.863329576882823</v>
      </c>
      <c r="J10" s="20" t="n">
        <f aca="false">CORREL(Returns!$H$2:$H$121,Returns!$J$2:$J$121)</f>
        <v>0.426961803622875</v>
      </c>
      <c r="K10" s="20" t="n">
        <f aca="false">CORREL(Returns!$H$2:$H$121,Returns!$K$2:$K$121)</f>
        <v>0.121619676952954</v>
      </c>
    </row>
    <row r="11" customFormat="false" ht="15" hidden="false" customHeight="false" outlineLevel="0" collapsed="false">
      <c r="A11" s="2" t="s">
        <v>61</v>
      </c>
      <c r="B11" s="20" t="n">
        <f aca="false">CORREL(Returns!$I$2:$I$121,Returns!$B$2:$B$121)</f>
        <v>0.529724994383846</v>
      </c>
      <c r="C11" s="20" t="n">
        <f aca="false">CORREL(Returns!$I$2:$I$121,Returns!$C$2:$C$121)</f>
        <v>0.570483419120559</v>
      </c>
      <c r="D11" s="20" t="n">
        <f aca="false">CORREL(Returns!$I$2:$I$121,Returns!$D$2:$D$121)</f>
        <v>0.444788736691329</v>
      </c>
      <c r="E11" s="20" t="n">
        <f aca="false">CORREL(Returns!$I$2:$I$121,Returns!$E$2:$E$121)</f>
        <v>0.187596270603153</v>
      </c>
      <c r="F11" s="20" t="n">
        <f aca="false">CORREL(Returns!$I$2:$I$121,Returns!$F$2:$F$121)</f>
        <v>0.286643974047291</v>
      </c>
      <c r="G11" s="20" t="n">
        <f aca="false">CORREL(Returns!$I$2:$I$121,Returns!$G$2:$G$121)</f>
        <v>0.662829354238036</v>
      </c>
      <c r="H11" s="20" t="n">
        <f aca="false">CORREL(Returns!$I$2:$I$121,Returns!$H$2:$H$121)</f>
        <v>0.863329576882823</v>
      </c>
      <c r="I11" s="20" t="n">
        <f aca="false">CORREL(Returns!$I$2:$I$121,Returns!$I$2:$I$121)</f>
        <v>1</v>
      </c>
      <c r="J11" s="20" t="n">
        <f aca="false">CORREL(Returns!$I$2:$I$121,Returns!$J$2:$J$121)</f>
        <v>0.441058414033502</v>
      </c>
      <c r="K11" s="20" t="n">
        <f aca="false">CORREL(Returns!$I$2:$I$121,Returns!$K$2:$K$121)</f>
        <v>-0.00358216020762402</v>
      </c>
    </row>
    <row r="12" customFormat="false" ht="15" hidden="false" customHeight="false" outlineLevel="0" collapsed="false">
      <c r="A12" s="2" t="s">
        <v>63</v>
      </c>
      <c r="B12" s="20" t="n">
        <f aca="false">CORREL(Returns!$J$2:$J$121,Returns!$B$2:$B$121)</f>
        <v>0.122602122309521</v>
      </c>
      <c r="C12" s="20" t="n">
        <f aca="false">CORREL(Returns!$J$2:$J$121,Returns!$C$2:$C$121)</f>
        <v>0.325995927016098</v>
      </c>
      <c r="D12" s="20" t="n">
        <f aca="false">CORREL(Returns!$J$2:$J$121,Returns!$D$2:$D$121)</f>
        <v>0.374280277266885</v>
      </c>
      <c r="E12" s="20" t="n">
        <f aca="false">CORREL(Returns!$J$2:$J$121,Returns!$E$2:$E$121)</f>
        <v>0.0124699955342036</v>
      </c>
      <c r="F12" s="20" t="n">
        <f aca="false">CORREL(Returns!$J$2:$J$121,Returns!$F$2:$F$121)</f>
        <v>0.119106010163684</v>
      </c>
      <c r="G12" s="20" t="n">
        <f aca="false">CORREL(Returns!$J$2:$J$121,Returns!$G$2:$G$121)</f>
        <v>0.210508970722841</v>
      </c>
      <c r="H12" s="20" t="n">
        <f aca="false">CORREL(Returns!$J$2:$J$121,Returns!$H$2:$H$121)</f>
        <v>0.426961803622875</v>
      </c>
      <c r="I12" s="20" t="n">
        <f aca="false">CORREL(Returns!$J$2:$J$121,Returns!$I$2:$I$121)</f>
        <v>0.441058414033502</v>
      </c>
      <c r="J12" s="20" t="n">
        <f aca="false">CORREL(Returns!$J$2:$J$121,Returns!$J$2:$J$121)</f>
        <v>1</v>
      </c>
      <c r="K12" s="20" t="n">
        <f aca="false">CORREL(Returns!$J$2:$J$121,Returns!$K$2:$K$121)</f>
        <v>0.18587000235553</v>
      </c>
    </row>
    <row r="13" customFormat="false" ht="15" hidden="false" customHeight="false" outlineLevel="0" collapsed="false">
      <c r="A13" s="2" t="s">
        <v>65</v>
      </c>
      <c r="B13" s="20" t="n">
        <f aca="false">CORREL(Returns!$K$2:$K$121,Returns!$B$2:$B$121)</f>
        <v>-0.0151860661304658</v>
      </c>
      <c r="C13" s="20" t="n">
        <f aca="false">CORREL(Returns!$K$2:$K$121,Returns!$C$2:$C$121)</f>
        <v>0.0169818842227027</v>
      </c>
      <c r="D13" s="20" t="n">
        <f aca="false">CORREL(Returns!$K$2:$K$121,Returns!$D$2:$D$121)</f>
        <v>0.0234529847392753</v>
      </c>
      <c r="E13" s="20" t="n">
        <f aca="false">CORREL(Returns!$K$2:$K$121,Returns!$E$2:$E$121)</f>
        <v>-0.194802458045688</v>
      </c>
      <c r="F13" s="20" t="n">
        <f aca="false">CORREL(Returns!$K$2:$K$121,Returns!$F$2:$F$121)</f>
        <v>-0.0720709039107069</v>
      </c>
      <c r="G13" s="20" t="n">
        <f aca="false">CORREL(Returns!$K$2:$K$121,Returns!$G$2:$G$121)</f>
        <v>-0.0336820401656369</v>
      </c>
      <c r="H13" s="20" t="n">
        <f aca="false">CORREL(Returns!$K$2:$K$121,Returns!$H$2:$H$121)</f>
        <v>0.121619676952954</v>
      </c>
      <c r="I13" s="20" t="n">
        <f aca="false">CORREL(Returns!$K$2:$K$121,Returns!$I$2:$I$121)</f>
        <v>-0.00358216020762402</v>
      </c>
      <c r="J13" s="20" t="n">
        <f aca="false">CORREL(Returns!$K$2:$K$121,Returns!$J$2:$J$121)</f>
        <v>0.18587000235553</v>
      </c>
      <c r="K13" s="20" t="n">
        <f aca="false">CORREL(Returns!$K$2:$K$121,Returns!$K$2:$K$121)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11" min="2" style="0" width="10"/>
  </cols>
  <sheetData>
    <row r="1" customFormat="false" ht="16.15" hidden="false" customHeight="false" outlineLevel="0" collapsed="false">
      <c r="A1" s="1" t="s">
        <v>94</v>
      </c>
    </row>
    <row r="3" customFormat="false" ht="15" hidden="false" customHeight="false" outlineLevel="0" collapsed="false">
      <c r="A3" s="5"/>
      <c r="B3" s="5" t="s">
        <v>44</v>
      </c>
      <c r="C3" s="5" t="s">
        <v>47</v>
      </c>
      <c r="D3" s="5" t="s">
        <v>49</v>
      </c>
      <c r="E3" s="5" t="s">
        <v>51</v>
      </c>
      <c r="F3" s="5" t="s">
        <v>53</v>
      </c>
      <c r="G3" s="5" t="s">
        <v>55</v>
      </c>
      <c r="H3" s="5" t="s">
        <v>58</v>
      </c>
      <c r="I3" s="5" t="s">
        <v>61</v>
      </c>
      <c r="J3" s="5" t="s">
        <v>63</v>
      </c>
      <c r="K3" s="5" t="s">
        <v>65</v>
      </c>
    </row>
    <row r="4" customFormat="false" ht="15" hidden="false" customHeight="false" outlineLevel="0" collapsed="false">
      <c r="A4" s="2" t="s">
        <v>44</v>
      </c>
      <c r="B4" s="21" t="n">
        <f aca="false">_xlfn.COVARIANCE.S(Returns!$B$2:$B$121,Returns!$B$2:$B$121)*12</f>
        <v>0.0248798938634346</v>
      </c>
      <c r="C4" s="21" t="n">
        <f aca="false">_xlfn.COVARIANCE.S(Returns!$B$2:$B$121,Returns!$C$2:$C$121)*12</f>
        <v>0.0208257618878201</v>
      </c>
      <c r="D4" s="21" t="n">
        <f aca="false">_xlfn.COVARIANCE.S(Returns!$B$2:$B$121,Returns!$D$2:$D$121)*12</f>
        <v>0.0168551395594299</v>
      </c>
      <c r="E4" s="21" t="n">
        <f aca="false">_xlfn.COVARIANCE.S(Returns!$B$2:$B$121,Returns!$E$2:$E$121)*12</f>
        <v>0.0116347469508305</v>
      </c>
      <c r="F4" s="21" t="n">
        <f aca="false">_xlfn.COVARIANCE.S(Returns!$B$2:$B$121,Returns!$F$2:$F$121)*12</f>
        <v>0.0148414399163385</v>
      </c>
      <c r="G4" s="21" t="n">
        <f aca="false">_xlfn.COVARIANCE.S(Returns!$B$2:$B$121,Returns!$G$2:$G$121)*12</f>
        <v>0.0218870747510885</v>
      </c>
      <c r="H4" s="21" t="n">
        <f aca="false">_xlfn.COVARIANCE.S(Returns!$B$2:$B$121,Returns!$H$2:$H$121)*12</f>
        <v>0.00362774321763276</v>
      </c>
      <c r="I4" s="21" t="n">
        <f aca="false">_xlfn.COVARIANCE.S(Returns!$B$2:$B$121,Returns!$I$2:$I$121)*12</f>
        <v>0.00420916541629339</v>
      </c>
      <c r="J4" s="21" t="n">
        <f aca="false">_xlfn.COVARIANCE.S(Returns!$B$2:$B$121,Returns!$J$2:$J$121)*12</f>
        <v>0.00298839780716957</v>
      </c>
      <c r="K4" s="21" t="n">
        <f aca="false">_xlfn.COVARIANCE.S(Returns!$B$2:$B$121,Returns!$K$2:$K$121)*12</f>
        <v>-1.33408147147586E-005</v>
      </c>
    </row>
    <row r="5" customFormat="false" ht="15" hidden="false" customHeight="false" outlineLevel="0" collapsed="false">
      <c r="A5" s="2" t="s">
        <v>47</v>
      </c>
      <c r="B5" s="21" t="n">
        <f aca="false">_xlfn.COVARIANCE.S(Returns!$C$2:$C$121,Returns!$B$2:$B$121)*12</f>
        <v>0.0208257618878201</v>
      </c>
      <c r="C5" s="21" t="n">
        <f aca="false">_xlfn.COVARIANCE.S(Returns!$C$2:$C$121,Returns!$C$2:$C$121)*12</f>
        <v>0.0241540644427087</v>
      </c>
      <c r="D5" s="21" t="n">
        <f aca="false">_xlfn.COVARIANCE.S(Returns!$C$2:$C$121,Returns!$D$2:$D$121)*12</f>
        <v>0.019715519744497</v>
      </c>
      <c r="E5" s="21" t="n">
        <f aca="false">_xlfn.COVARIANCE.S(Returns!$C$2:$C$121,Returns!$E$2:$E$121)*12</f>
        <v>0.0104216696178266</v>
      </c>
      <c r="F5" s="21" t="n">
        <f aca="false">_xlfn.COVARIANCE.S(Returns!$C$2:$C$121,Returns!$F$2:$F$121)*12</f>
        <v>0.0150289585449724</v>
      </c>
      <c r="G5" s="21" t="n">
        <f aca="false">_xlfn.COVARIANCE.S(Returns!$C$2:$C$121,Returns!$G$2:$G$121)*12</f>
        <v>0.0208346531171887</v>
      </c>
      <c r="H5" s="21" t="n">
        <f aca="false">_xlfn.COVARIANCE.S(Returns!$C$2:$C$121,Returns!$H$2:$H$121)*12</f>
        <v>0.00438592410190723</v>
      </c>
      <c r="I5" s="21" t="n">
        <f aca="false">_xlfn.COVARIANCE.S(Returns!$C$2:$C$121,Returns!$I$2:$I$121)*12</f>
        <v>0.00446641839414444</v>
      </c>
      <c r="J5" s="21" t="n">
        <f aca="false">_xlfn.COVARIANCE.S(Returns!$C$2:$C$121,Returns!$J$2:$J$121)*12</f>
        <v>0.00782930917839662</v>
      </c>
      <c r="K5" s="21" t="n">
        <f aca="false">_xlfn.COVARIANCE.S(Returns!$C$2:$C$121,Returns!$K$2:$K$121)*12</f>
        <v>1.46992030801138E-005</v>
      </c>
    </row>
    <row r="6" customFormat="false" ht="15" hidden="false" customHeight="false" outlineLevel="0" collapsed="false">
      <c r="A6" s="2" t="s">
        <v>49</v>
      </c>
      <c r="B6" s="21" t="n">
        <f aca="false">_xlfn.COVARIANCE.S(Returns!$D$2:$D$121,Returns!$B$2:$B$121)*12</f>
        <v>0.0168551395594299</v>
      </c>
      <c r="C6" s="21" t="n">
        <f aca="false">_xlfn.COVARIANCE.S(Returns!$D$2:$D$121,Returns!$C$2:$C$121)*12</f>
        <v>0.019715519744497</v>
      </c>
      <c r="D6" s="21" t="n">
        <f aca="false">_xlfn.COVARIANCE.S(Returns!$D$2:$D$121,Returns!$D$2:$D$121)*12</f>
        <v>0.0240821278792927</v>
      </c>
      <c r="E6" s="21" t="n">
        <f aca="false">_xlfn.COVARIANCE.S(Returns!$D$2:$D$121,Returns!$E$2:$E$121)*12</f>
        <v>0.00889588330755644</v>
      </c>
      <c r="F6" s="21" t="n">
        <f aca="false">_xlfn.COVARIANCE.S(Returns!$D$2:$D$121,Returns!$F$2:$F$121)*12</f>
        <v>0.0134311611632636</v>
      </c>
      <c r="G6" s="21" t="n">
        <f aca="false">_xlfn.COVARIANCE.S(Returns!$D$2:$D$121,Returns!$G$2:$G$121)*12</f>
        <v>0.0159668949805381</v>
      </c>
      <c r="H6" s="21" t="n">
        <f aca="false">_xlfn.COVARIANCE.S(Returns!$D$2:$D$121,Returns!$H$2:$H$121)*12</f>
        <v>0.00383431809579363</v>
      </c>
      <c r="I6" s="21" t="n">
        <f aca="false">_xlfn.COVARIANCE.S(Returns!$D$2:$D$121,Returns!$I$2:$I$121)*12</f>
        <v>0.00347714240178734</v>
      </c>
      <c r="J6" s="21" t="n">
        <f aca="false">_xlfn.COVARIANCE.S(Returns!$D$2:$D$121,Returns!$J$2:$J$121)*12</f>
        <v>0.00897553884665803</v>
      </c>
      <c r="K6" s="21" t="n">
        <f aca="false">_xlfn.COVARIANCE.S(Returns!$D$2:$D$121,Returns!$K$2:$K$121)*12</f>
        <v>2.02702149519291E-005</v>
      </c>
    </row>
    <row r="7" customFormat="false" ht="15" hidden="false" customHeight="false" outlineLevel="0" collapsed="false">
      <c r="A7" s="2" t="s">
        <v>51</v>
      </c>
      <c r="B7" s="21" t="n">
        <f aca="false">_xlfn.COVARIANCE.S(Returns!$E$2:$E$121,Returns!$B$2:$B$121)*12</f>
        <v>0.0116347469508305</v>
      </c>
      <c r="C7" s="21" t="n">
        <f aca="false">_xlfn.COVARIANCE.S(Returns!$E$2:$E$121,Returns!$C$2:$C$121)*12</f>
        <v>0.0104216696178266</v>
      </c>
      <c r="D7" s="21" t="n">
        <f aca="false">_xlfn.COVARIANCE.S(Returns!$E$2:$E$121,Returns!$D$2:$D$121)*12</f>
        <v>0.00889588330755644</v>
      </c>
      <c r="E7" s="21" t="n">
        <f aca="false">_xlfn.COVARIANCE.S(Returns!$E$2:$E$121,Returns!$E$2:$E$121)*12</f>
        <v>0.032490650199985</v>
      </c>
      <c r="F7" s="21" t="n">
        <f aca="false">_xlfn.COVARIANCE.S(Returns!$E$2:$E$121,Returns!$F$2:$F$121)*12</f>
        <v>0.010664800567396</v>
      </c>
      <c r="G7" s="21" t="n">
        <f aca="false">_xlfn.COVARIANCE.S(Returns!$E$2:$E$121,Returns!$G$2:$G$121)*12</f>
        <v>0.0113120774161333</v>
      </c>
      <c r="H7" s="21" t="n">
        <f aca="false">_xlfn.COVARIANCE.S(Returns!$E$2:$E$121,Returns!$H$2:$H$121)*12</f>
        <v>0.000400670194576408</v>
      </c>
      <c r="I7" s="21" t="n">
        <f aca="false">_xlfn.COVARIANCE.S(Returns!$E$2:$E$121,Returns!$I$2:$I$121)*12</f>
        <v>0.0017034314780009</v>
      </c>
      <c r="J7" s="21" t="n">
        <f aca="false">_xlfn.COVARIANCE.S(Returns!$E$2:$E$121,Returns!$J$2:$J$121)*12</f>
        <v>0.000347345485343634</v>
      </c>
      <c r="K7" s="21" t="n">
        <f aca="false">_xlfn.COVARIANCE.S(Returns!$E$2:$E$121,Returns!$K$2:$K$121)*12</f>
        <v>-0.000195562886070196</v>
      </c>
    </row>
    <row r="8" customFormat="false" ht="15" hidden="false" customHeight="false" outlineLevel="0" collapsed="false">
      <c r="A8" s="2" t="s">
        <v>53</v>
      </c>
      <c r="B8" s="21" t="n">
        <f aca="false">_xlfn.COVARIANCE.S(Returns!$F$2:$F$121,Returns!$B$2:$B$121)*12</f>
        <v>0.0148414399163385</v>
      </c>
      <c r="C8" s="21" t="n">
        <f aca="false">_xlfn.COVARIANCE.S(Returns!$F$2:$F$121,Returns!$C$2:$C$121)*12</f>
        <v>0.0150289585449724</v>
      </c>
      <c r="D8" s="21" t="n">
        <f aca="false">_xlfn.COVARIANCE.S(Returns!$F$2:$F$121,Returns!$D$2:$D$121)*12</f>
        <v>0.0134311611632636</v>
      </c>
      <c r="E8" s="21" t="n">
        <f aca="false">_xlfn.COVARIANCE.S(Returns!$F$2:$F$121,Returns!$E$2:$E$121)*12</f>
        <v>0.010664800567396</v>
      </c>
      <c r="F8" s="21" t="n">
        <f aca="false">_xlfn.COVARIANCE.S(Returns!$F$2:$F$121,Returns!$F$2:$F$121)*12</f>
        <v>0.031087935861432</v>
      </c>
      <c r="G8" s="21" t="n">
        <f aca="false">_xlfn.COVARIANCE.S(Returns!$F$2:$F$121,Returns!$G$2:$G$121)*12</f>
        <v>0.0146584759738455</v>
      </c>
      <c r="H8" s="21" t="n">
        <f aca="false">_xlfn.COVARIANCE.S(Returns!$F$2:$F$121,Returns!$H$2:$H$121)*12</f>
        <v>0.00157459837501879</v>
      </c>
      <c r="I8" s="21" t="n">
        <f aca="false">_xlfn.COVARIANCE.S(Returns!$F$2:$F$121,Returns!$I$2:$I$121)*12</f>
        <v>0.00254600954006416</v>
      </c>
      <c r="J8" s="21" t="n">
        <f aca="false">_xlfn.COVARIANCE.S(Returns!$F$2:$F$121,Returns!$J$2:$J$121)*12</f>
        <v>0.00324523222386863</v>
      </c>
      <c r="K8" s="21" t="n">
        <f aca="false">_xlfn.COVARIANCE.S(Returns!$F$2:$F$121,Returns!$K$2:$K$121)*12</f>
        <v>-7.077318110472E-005</v>
      </c>
    </row>
    <row r="9" customFormat="false" ht="15" hidden="false" customHeight="false" outlineLevel="0" collapsed="false">
      <c r="A9" s="2" t="s">
        <v>55</v>
      </c>
      <c r="B9" s="21" t="n">
        <f aca="false">_xlfn.COVARIANCE.S(Returns!$G$2:$G$121,Returns!$B$2:$B$121)*12</f>
        <v>0.0218870747510885</v>
      </c>
      <c r="C9" s="21" t="n">
        <f aca="false">_xlfn.COVARIANCE.S(Returns!$G$2:$G$121,Returns!$C$2:$C$121)*12</f>
        <v>0.0208346531171887</v>
      </c>
      <c r="D9" s="21" t="n">
        <f aca="false">_xlfn.COVARIANCE.S(Returns!$G$2:$G$121,Returns!$D$2:$D$121)*12</f>
        <v>0.0159668949805381</v>
      </c>
      <c r="E9" s="21" t="n">
        <f aca="false">_xlfn.COVARIANCE.S(Returns!$G$2:$G$121,Returns!$E$2:$E$121)*12</f>
        <v>0.0113120774161333</v>
      </c>
      <c r="F9" s="21" t="n">
        <f aca="false">_xlfn.COVARIANCE.S(Returns!$G$2:$G$121,Returns!$F$2:$F$121)*12</f>
        <v>0.0146584759738455</v>
      </c>
      <c r="G9" s="21" t="n">
        <f aca="false">_xlfn.COVARIANCE.S(Returns!$G$2:$G$121,Returns!$G$2:$G$121)*12</f>
        <v>0.0313291498646995</v>
      </c>
      <c r="H9" s="21" t="n">
        <f aca="false">_xlfn.COVARIANCE.S(Returns!$G$2:$G$121,Returns!$H$2:$H$121)*12</f>
        <v>0.00563670348253235</v>
      </c>
      <c r="I9" s="21" t="n">
        <f aca="false">_xlfn.COVARIANCE.S(Returns!$G$2:$G$121,Returns!$I$2:$I$121)*12</f>
        <v>0.00591013369492092</v>
      </c>
      <c r="J9" s="21" t="n">
        <f aca="false">_xlfn.COVARIANCE.S(Returns!$G$2:$G$121,Returns!$J$2:$J$121)*12</f>
        <v>0.00575785961782013</v>
      </c>
      <c r="K9" s="21" t="n">
        <f aca="false">_xlfn.COVARIANCE.S(Returns!$G$2:$G$121,Returns!$K$2:$K$121)*12</f>
        <v>-3.32036248650647E-005</v>
      </c>
    </row>
    <row r="10" customFormat="false" ht="15" hidden="false" customHeight="false" outlineLevel="0" collapsed="false">
      <c r="A10" s="2" t="s">
        <v>58</v>
      </c>
      <c r="B10" s="21" t="n">
        <f aca="false">_xlfn.COVARIANCE.S(Returns!$H$2:$H$121,Returns!$B$2:$B$121)*12</f>
        <v>0.00362774321763276</v>
      </c>
      <c r="C10" s="21" t="n">
        <f aca="false">_xlfn.COVARIANCE.S(Returns!$H$2:$H$121,Returns!$C$2:$C$121)*12</f>
        <v>0.00438592410190723</v>
      </c>
      <c r="D10" s="21" t="n">
        <f aca="false">_xlfn.COVARIANCE.S(Returns!$H$2:$H$121,Returns!$D$2:$D$121)*12</f>
        <v>0.00383431809579363</v>
      </c>
      <c r="E10" s="21" t="n">
        <f aca="false">_xlfn.COVARIANCE.S(Returns!$H$2:$H$121,Returns!$E$2:$E$121)*12</f>
        <v>0.000400670194576408</v>
      </c>
      <c r="F10" s="21" t="n">
        <f aca="false">_xlfn.COVARIANCE.S(Returns!$H$2:$H$121,Returns!$F$2:$F$121)*12</f>
        <v>0.00157459837501879</v>
      </c>
      <c r="G10" s="21" t="n">
        <f aca="false">_xlfn.COVARIANCE.S(Returns!$H$2:$H$121,Returns!$G$2:$G$121)*12</f>
        <v>0.00563670348253235</v>
      </c>
      <c r="H10" s="21" t="n">
        <f aca="false">_xlfn.COVARIANCE.S(Returns!$H$2:$H$121,Returns!$H$2:$H$121)*12</f>
        <v>0.00275554769773174</v>
      </c>
      <c r="I10" s="21" t="n">
        <f aca="false">_xlfn.COVARIANCE.S(Returns!$H$2:$H$121,Returns!$I$2:$I$121)*12</f>
        <v>0.00228297866495736</v>
      </c>
      <c r="J10" s="21" t="n">
        <f aca="false">_xlfn.COVARIANCE.S(Returns!$H$2:$H$121,Returns!$J$2:$J$121)*12</f>
        <v>0.00346345181665684</v>
      </c>
      <c r="K10" s="21" t="n">
        <f aca="false">_xlfn.COVARIANCE.S(Returns!$H$2:$H$121,Returns!$K$2:$K$121)*12</f>
        <v>3.55566319232063E-005</v>
      </c>
    </row>
    <row r="11" customFormat="false" ht="15" hidden="false" customHeight="false" outlineLevel="0" collapsed="false">
      <c r="A11" s="2" t="s">
        <v>61</v>
      </c>
      <c r="B11" s="21" t="n">
        <f aca="false">_xlfn.COVARIANCE.S(Returns!$I$2:$I$121,Returns!$B$2:$B$121)*12</f>
        <v>0.00420916541629339</v>
      </c>
      <c r="C11" s="21" t="n">
        <f aca="false">_xlfn.COVARIANCE.S(Returns!$I$2:$I$121,Returns!$C$2:$C$121)*12</f>
        <v>0.00446641839414444</v>
      </c>
      <c r="D11" s="21" t="n">
        <f aca="false">_xlfn.COVARIANCE.S(Returns!$I$2:$I$121,Returns!$D$2:$D$121)*12</f>
        <v>0.00347714240178734</v>
      </c>
      <c r="E11" s="21" t="n">
        <f aca="false">_xlfn.COVARIANCE.S(Returns!$I$2:$I$121,Returns!$E$2:$E$121)*12</f>
        <v>0.0017034314780009</v>
      </c>
      <c r="F11" s="21" t="n">
        <f aca="false">_xlfn.COVARIANCE.S(Returns!$I$2:$I$121,Returns!$F$2:$F$121)*12</f>
        <v>0.00254600954006416</v>
      </c>
      <c r="G11" s="21" t="n">
        <f aca="false">_xlfn.COVARIANCE.S(Returns!$I$2:$I$121,Returns!$G$2:$G$121)*12</f>
        <v>0.00591013369492092</v>
      </c>
      <c r="H11" s="21" t="n">
        <f aca="false">_xlfn.COVARIANCE.S(Returns!$I$2:$I$121,Returns!$H$2:$H$121)*12</f>
        <v>0.00228297866495736</v>
      </c>
      <c r="I11" s="21" t="n">
        <f aca="false">_xlfn.COVARIANCE.S(Returns!$I$2:$I$121,Returns!$I$2:$I$121)*12</f>
        <v>0.0025377131696519</v>
      </c>
      <c r="J11" s="21" t="n">
        <f aca="false">_xlfn.COVARIANCE.S(Returns!$I$2:$I$121,Returns!$J$2:$J$121)*12</f>
        <v>0.00343347221689914</v>
      </c>
      <c r="K11" s="21" t="n">
        <f aca="false">_xlfn.COVARIANCE.S(Returns!$I$2:$I$121,Returns!$K$2:$K$121)*12</f>
        <v>-1.00503011669975E-006</v>
      </c>
    </row>
    <row r="12" customFormat="false" ht="15" hidden="false" customHeight="false" outlineLevel="0" collapsed="false">
      <c r="A12" s="2" t="s">
        <v>63</v>
      </c>
      <c r="B12" s="21" t="n">
        <f aca="false">_xlfn.COVARIANCE.S(Returns!$J$2:$J$121,Returns!$B$2:$B$121)*12</f>
        <v>0.00298839780716957</v>
      </c>
      <c r="C12" s="21" t="n">
        <f aca="false">_xlfn.COVARIANCE.S(Returns!$J$2:$J$121,Returns!$C$2:$C$121)*12</f>
        <v>0.00782930917839662</v>
      </c>
      <c r="D12" s="21" t="n">
        <f aca="false">_xlfn.COVARIANCE.S(Returns!$J$2:$J$121,Returns!$D$2:$D$121)*12</f>
        <v>0.00897553884665803</v>
      </c>
      <c r="E12" s="21" t="n">
        <f aca="false">_xlfn.COVARIANCE.S(Returns!$J$2:$J$121,Returns!$E$2:$E$121)*12</f>
        <v>0.000347345485343634</v>
      </c>
      <c r="F12" s="21" t="n">
        <f aca="false">_xlfn.COVARIANCE.S(Returns!$J$2:$J$121,Returns!$F$2:$F$121)*12</f>
        <v>0.00324523222386863</v>
      </c>
      <c r="G12" s="21" t="n">
        <f aca="false">_xlfn.COVARIANCE.S(Returns!$J$2:$J$121,Returns!$G$2:$G$121)*12</f>
        <v>0.00575785961782013</v>
      </c>
      <c r="H12" s="21" t="n">
        <f aca="false">_xlfn.COVARIANCE.S(Returns!$J$2:$J$121,Returns!$H$2:$H$121)*12</f>
        <v>0.00346345181665684</v>
      </c>
      <c r="I12" s="21" t="n">
        <f aca="false">_xlfn.COVARIANCE.S(Returns!$J$2:$J$121,Returns!$I$2:$I$121)*12</f>
        <v>0.00343347221689914</v>
      </c>
      <c r="J12" s="21" t="n">
        <f aca="false">_xlfn.COVARIANCE.S(Returns!$J$2:$J$121,Returns!$J$2:$J$121)*12</f>
        <v>0.0238798898131762</v>
      </c>
      <c r="K12" s="21" t="n">
        <f aca="false">_xlfn.COVARIANCE.S(Returns!$J$2:$J$121,Returns!$K$2:$K$121)*12</f>
        <v>0.000159969897947635</v>
      </c>
    </row>
    <row r="13" customFormat="false" ht="15" hidden="false" customHeight="false" outlineLevel="0" collapsed="false">
      <c r="A13" s="2" t="s">
        <v>65</v>
      </c>
      <c r="B13" s="21" t="n">
        <f aca="false">_xlfn.COVARIANCE.S(Returns!$K$2:$K$121,Returns!$B$2:$B$121)*12</f>
        <v>-1.33408147147586E-005</v>
      </c>
      <c r="C13" s="21" t="n">
        <f aca="false">_xlfn.COVARIANCE.S(Returns!$K$2:$K$121,Returns!$C$2:$C$121)*12</f>
        <v>1.46992030801138E-005</v>
      </c>
      <c r="D13" s="21" t="n">
        <f aca="false">_xlfn.COVARIANCE.S(Returns!$K$2:$K$121,Returns!$D$2:$D$121)*12</f>
        <v>2.02702149519291E-005</v>
      </c>
      <c r="E13" s="21" t="n">
        <f aca="false">_xlfn.COVARIANCE.S(Returns!$K$2:$K$121,Returns!$E$2:$E$121)*12</f>
        <v>-0.000195562886070196</v>
      </c>
      <c r="F13" s="21" t="n">
        <f aca="false">_xlfn.COVARIANCE.S(Returns!$K$2:$K$121,Returns!$F$2:$F$121)*12</f>
        <v>-7.077318110472E-005</v>
      </c>
      <c r="G13" s="21" t="n">
        <f aca="false">_xlfn.COVARIANCE.S(Returns!$K$2:$K$121,Returns!$G$2:$G$121)*12</f>
        <v>-3.32036248650647E-005</v>
      </c>
      <c r="H13" s="21" t="n">
        <f aca="false">_xlfn.COVARIANCE.S(Returns!$K$2:$K$121,Returns!$H$2:$H$121)*12</f>
        <v>3.55566319232063E-005</v>
      </c>
      <c r="I13" s="21" t="n">
        <f aca="false">_xlfn.COVARIANCE.S(Returns!$K$2:$K$121,Returns!$I$2:$I$121)*12</f>
        <v>-1.00503011669975E-006</v>
      </c>
      <c r="J13" s="21" t="n">
        <f aca="false">_xlfn.COVARIANCE.S(Returns!$K$2:$K$121,Returns!$J$2:$J$121)*12</f>
        <v>0.000159969897947635</v>
      </c>
      <c r="K13" s="21" t="n">
        <f aca="false">_xlfn.COVARIANCE.S(Returns!$K$2:$K$121,Returns!$K$2:$K$121)*12</f>
        <v>3.10188439599582E-005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6" min="4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1" min="9" style="0" width="10"/>
  </cols>
  <sheetData>
    <row r="1" customFormat="false" ht="16.15" hidden="false" customHeight="false" outlineLevel="0" collapsed="false">
      <c r="A1" s="1" t="s">
        <v>95</v>
      </c>
    </row>
    <row r="3" customFormat="false" ht="15" hidden="false" customHeight="false" outlineLevel="0" collapsed="false">
      <c r="A3" s="2" t="s">
        <v>96</v>
      </c>
    </row>
    <row r="4" customFormat="false" ht="15" hidden="false" customHeight="false" outlineLevel="0" collapsed="false">
      <c r="A4" s="0" t="s">
        <v>97</v>
      </c>
      <c r="B4" s="7" t="n">
        <v>0.0426</v>
      </c>
      <c r="C4" s="0" t="s">
        <v>98</v>
      </c>
    </row>
    <row r="5" customFormat="false" ht="15" hidden="false" customHeight="false" outlineLevel="0" collapsed="false">
      <c r="A5" s="0" t="s">
        <v>99</v>
      </c>
      <c r="B5" s="7" t="n">
        <v>0.05</v>
      </c>
    </row>
    <row r="6" customFormat="false" ht="15" hidden="false" customHeight="false" outlineLevel="0" collapsed="false">
      <c r="A6" s="0" t="s">
        <v>100</v>
      </c>
      <c r="B6" s="7" t="n">
        <v>0.0267</v>
      </c>
    </row>
    <row r="7" customFormat="false" ht="15" hidden="false" customHeight="false" outlineLevel="0" collapsed="false">
      <c r="A7" s="0" t="s">
        <v>101</v>
      </c>
      <c r="B7" s="7" t="n">
        <v>0.0233</v>
      </c>
    </row>
    <row r="8" customFormat="false" ht="15" hidden="false" customHeight="false" outlineLevel="0" collapsed="false">
      <c r="A8" s="0" t="s">
        <v>102</v>
      </c>
      <c r="B8" s="7" t="n">
        <v>0.002</v>
      </c>
    </row>
    <row r="9" customFormat="false" ht="15" hidden="false" customHeight="false" outlineLevel="0" collapsed="false">
      <c r="A9" s="0" t="s">
        <v>103</v>
      </c>
      <c r="B9" s="7" t="n">
        <v>0.01</v>
      </c>
    </row>
    <row r="11" customFormat="false" ht="41.75" hidden="false" customHeight="false" outlineLevel="0" collapsed="false">
      <c r="A11" s="5" t="s">
        <v>31</v>
      </c>
      <c r="B11" s="5" t="s">
        <v>104</v>
      </c>
      <c r="C11" s="5" t="s">
        <v>105</v>
      </c>
      <c r="D11" s="5" t="s">
        <v>106</v>
      </c>
      <c r="E11" s="5" t="s">
        <v>107</v>
      </c>
      <c r="F11" s="5" t="s">
        <v>108</v>
      </c>
      <c r="G11" s="5" t="s">
        <v>109</v>
      </c>
      <c r="H11" s="5" t="s">
        <v>110</v>
      </c>
    </row>
    <row r="12" customFormat="false" ht="15" hidden="false" customHeight="false" outlineLevel="0" collapsed="false">
      <c r="A12" s="0" t="s">
        <v>44</v>
      </c>
      <c r="B12" s="16" t="n">
        <f aca="false">Allocation!D6</f>
        <v>0.25</v>
      </c>
      <c r="C12" s="14" t="n">
        <f aca="false">AssetStats!C4</f>
        <v>0.150329999843249</v>
      </c>
      <c r="D12" s="7" t="n">
        <v>0.03</v>
      </c>
      <c r="E12" s="14" t="n">
        <f aca="false">$B$4+D12</f>
        <v>0.0726</v>
      </c>
      <c r="F12" s="21" t="n">
        <f aca="false">SUMPRODUCT(Covariance!B4:K4,$B$24:$K$24)</f>
        <v>0.0120679463176846</v>
      </c>
      <c r="G12" s="16" t="n">
        <f aca="false">B12*F12/$B$27</f>
        <v>0.434955008518619</v>
      </c>
    </row>
    <row r="13" customFormat="false" ht="15" hidden="false" customHeight="false" outlineLevel="0" collapsed="false">
      <c r="A13" s="0" t="s">
        <v>47</v>
      </c>
      <c r="B13" s="16" t="n">
        <f aca="false">Allocation!D7</f>
        <v>0.1</v>
      </c>
      <c r="C13" s="14" t="n">
        <f aca="false">AssetStats!C5</f>
        <v>0.105335433905509</v>
      </c>
      <c r="D13" s="7" t="n">
        <v>0.035</v>
      </c>
      <c r="E13" s="14" t="n">
        <f aca="false">$B$4+D13</f>
        <v>0.0776</v>
      </c>
      <c r="F13" s="21" t="n">
        <f aca="false">SUMPRODUCT(Covariance!B5:K5,$B$24:$K$24)</f>
        <v>0.012027570567909</v>
      </c>
      <c r="G13" s="16" t="n">
        <f aca="false">B13*F13/$B$27</f>
        <v>0.17339991150464</v>
      </c>
    </row>
    <row r="14" customFormat="false" ht="15" hidden="false" customHeight="false" outlineLevel="0" collapsed="false">
      <c r="A14" s="0" t="s">
        <v>49</v>
      </c>
      <c r="B14" s="16" t="n">
        <f aca="false">Allocation!D8</f>
        <v>0.05</v>
      </c>
      <c r="C14" s="14" t="n">
        <f aca="false">AssetStats!C6</f>
        <v>0.0853393269346759</v>
      </c>
      <c r="D14" s="7" t="n">
        <v>0.04</v>
      </c>
      <c r="E14" s="14" t="n">
        <f aca="false">$B$4+D14</f>
        <v>0.0826</v>
      </c>
      <c r="F14" s="21" t="n">
        <f aca="false">SUMPRODUCT(Covariance!B6:K6,$B$24:$K$24)</f>
        <v>0.010409695778805</v>
      </c>
      <c r="G14" s="16" t="n">
        <f aca="false">B14*F14/$B$27</f>
        <v>0.0750376111552854</v>
      </c>
    </row>
    <row r="15" customFormat="false" ht="15" hidden="false" customHeight="false" outlineLevel="0" collapsed="false">
      <c r="A15" s="0" t="s">
        <v>51</v>
      </c>
      <c r="B15" s="16" t="n">
        <f aca="false">Allocation!D9</f>
        <v>0.03</v>
      </c>
      <c r="C15" s="14" t="n">
        <f aca="false">AssetStats!C7</f>
        <v>0.0965671280271047</v>
      </c>
      <c r="D15" s="7" t="n">
        <v>0.04</v>
      </c>
      <c r="E15" s="14" t="n">
        <f aca="false">$B$4+D15</f>
        <v>0.0826</v>
      </c>
      <c r="F15" s="21" t="n">
        <f aca="false">SUMPRODUCT(Covariance!B7:K7,$B$24:$K$24)</f>
        <v>0.00623627418379221</v>
      </c>
      <c r="G15" s="16" t="n">
        <f aca="false">B15*F15/$B$27</f>
        <v>0.0269722647349948</v>
      </c>
    </row>
    <row r="16" customFormat="false" ht="15" hidden="false" customHeight="false" outlineLevel="0" collapsed="false">
      <c r="A16" s="0" t="s">
        <v>53</v>
      </c>
      <c r="B16" s="16" t="n">
        <f aca="false">Allocation!D10</f>
        <v>0.02</v>
      </c>
      <c r="C16" s="14" t="n">
        <f aca="false">AssetStats!C8</f>
        <v>0.0732277422165585</v>
      </c>
      <c r="D16" s="7" t="n">
        <v>0.04</v>
      </c>
      <c r="E16" s="14" t="n">
        <f aca="false">$B$4+D16</f>
        <v>0.0826</v>
      </c>
      <c r="F16" s="21" t="n">
        <f aca="false">SUMPRODUCT(Covariance!B8:K8,$B$24:$K$24)</f>
        <v>0.00818694604495575</v>
      </c>
      <c r="G16" s="16" t="n">
        <f aca="false">B16*F16/$B$27</f>
        <v>0.0236060260328266</v>
      </c>
    </row>
    <row r="17" customFormat="false" ht="15" hidden="false" customHeight="false" outlineLevel="0" collapsed="false">
      <c r="A17" s="0" t="s">
        <v>55</v>
      </c>
      <c r="B17" s="16" t="n">
        <f aca="false">Allocation!D11</f>
        <v>0.03</v>
      </c>
      <c r="C17" s="14" t="n">
        <f aca="false">AssetStats!C9</f>
        <v>0.0589504905280933</v>
      </c>
      <c r="D17" s="7" t="n">
        <v>0.025</v>
      </c>
      <c r="E17" s="14" t="n">
        <f aca="false">$B$4+D17</f>
        <v>0.0676</v>
      </c>
      <c r="F17" s="21" t="n">
        <f aca="false">SUMPRODUCT(Covariance!B9:K9,$B$24:$K$24)</f>
        <v>0.0124447708837016</v>
      </c>
      <c r="G17" s="16" t="n">
        <f aca="false">B17*F17/$B$27</f>
        <v>0.0538243901645519</v>
      </c>
    </row>
    <row r="18" customFormat="false" ht="15" hidden="false" customHeight="false" outlineLevel="0" collapsed="false">
      <c r="A18" s="0" t="s">
        <v>58</v>
      </c>
      <c r="B18" s="16" t="n">
        <f aca="false">Allocation!D12</f>
        <v>0.25</v>
      </c>
      <c r="C18" s="14" t="n">
        <f aca="false">AssetStats!C10</f>
        <v>0.013103423565622</v>
      </c>
      <c r="E18" s="14" t="n">
        <f aca="false">$B$5+$B$8</f>
        <v>0.052</v>
      </c>
      <c r="F18" s="21" t="n">
        <f aca="false">SUMPRODUCT(Covariance!B10:K10,$B$24:$K$24)</f>
        <v>0.00295798781914989</v>
      </c>
      <c r="G18" s="16" t="n">
        <f aca="false">B18*F18/$B$27</f>
        <v>0.106612308607216</v>
      </c>
    </row>
    <row r="19" customFormat="false" ht="15" hidden="false" customHeight="false" outlineLevel="0" collapsed="false">
      <c r="A19" s="0" t="s">
        <v>61</v>
      </c>
      <c r="B19" s="16" t="n">
        <f aca="false">Allocation!D13</f>
        <v>0.12</v>
      </c>
      <c r="C19" s="14" t="n">
        <f aca="false">AssetStats!C11</f>
        <v>0.0218082134744372</v>
      </c>
      <c r="E19" s="14" t="n">
        <f aca="false">$B$6+$B$7</f>
        <v>0.05</v>
      </c>
      <c r="F19" s="21" t="n">
        <f aca="false">SUMPRODUCT(Covariance!B11:K11,$B$24:$K$24)</f>
        <v>0.00306765035893727</v>
      </c>
      <c r="G19" s="16" t="n">
        <f aca="false">B19*F19/$B$27</f>
        <v>0.0530710967203456</v>
      </c>
    </row>
    <row r="20" customFormat="false" ht="15" hidden="false" customHeight="false" outlineLevel="0" collapsed="false">
      <c r="A20" s="0" t="s">
        <v>63</v>
      </c>
      <c r="B20" s="16" t="n">
        <f aca="false">Allocation!D14</f>
        <v>0.07</v>
      </c>
      <c r="C20" s="14" t="n">
        <f aca="false">AssetStats!C12</f>
        <v>0.124644155992754</v>
      </c>
      <c r="E20" s="14" t="n">
        <f aca="false">$B$7+$B$9</f>
        <v>0.0333</v>
      </c>
      <c r="F20" s="21" t="n">
        <f aca="false">SUMPRODUCT(Covariance!B12:K12,$B$24:$K$24)</f>
        <v>0.00518913760848749</v>
      </c>
      <c r="G20" s="16" t="n">
        <f aca="false">B20*F20/$B$27</f>
        <v>0.0523677826633192</v>
      </c>
    </row>
    <row r="21" customFormat="false" ht="15" hidden="false" customHeight="false" outlineLevel="0" collapsed="false">
      <c r="A21" s="0" t="s">
        <v>65</v>
      </c>
      <c r="B21" s="16" t="n">
        <f aca="false">Allocation!D15</f>
        <v>0.08</v>
      </c>
      <c r="C21" s="14" t="n">
        <f aca="false">AssetStats!C13</f>
        <v>0.0227279736929669</v>
      </c>
      <c r="E21" s="14" t="n">
        <f aca="false">$B$4</f>
        <v>0.0426</v>
      </c>
      <c r="F21" s="21" t="n">
        <f aca="false">SUMPRODUCT(Covariance!B13:K13,$B$24:$K$24)</f>
        <v>1.33177231666947E-005</v>
      </c>
      <c r="G21" s="16" t="n">
        <f aca="false">B21*F21/$B$27</f>
        <v>0.000153599898201197</v>
      </c>
    </row>
    <row r="24" customFormat="false" ht="15" hidden="false" customHeight="false" outlineLevel="0" collapsed="false">
      <c r="A24" s="0" t="s">
        <v>111</v>
      </c>
      <c r="B24" s="16" t="n">
        <f aca="false">INDEX($B$12:$B$21,1)</f>
        <v>0.25</v>
      </c>
      <c r="C24" s="16" t="n">
        <f aca="false">INDEX($B$12:$B$21,2)</f>
        <v>0.1</v>
      </c>
      <c r="D24" s="16" t="n">
        <f aca="false">INDEX($B$12:$B$21,3)</f>
        <v>0.05</v>
      </c>
      <c r="E24" s="16" t="n">
        <f aca="false">INDEX($B$12:$B$21,4)</f>
        <v>0.03</v>
      </c>
      <c r="F24" s="16" t="n">
        <f aca="false">INDEX($B$12:$B$21,5)</f>
        <v>0.02</v>
      </c>
      <c r="G24" s="16" t="n">
        <f aca="false">INDEX($B$12:$B$21,6)</f>
        <v>0.03</v>
      </c>
      <c r="H24" s="16" t="n">
        <f aca="false">INDEX($B$12:$B$21,7)</f>
        <v>0.25</v>
      </c>
      <c r="I24" s="16" t="n">
        <f aca="false">INDEX($B$12:$B$21,8)</f>
        <v>0.12</v>
      </c>
      <c r="J24" s="16" t="n">
        <f aca="false">INDEX($B$12:$B$21,9)</f>
        <v>0.07</v>
      </c>
      <c r="K24" s="16" t="n">
        <f aca="false">INDEX($B$12:$B$21,10)</f>
        <v>0.08</v>
      </c>
    </row>
    <row r="25" customFormat="false" ht="15" hidden="false" customHeight="false" outlineLevel="0" collapsed="false">
      <c r="A25" s="0" t="s">
        <v>112</v>
      </c>
      <c r="B25" s="14" t="n">
        <f aca="false">SUMPRODUCT(B12:B21,C12:C21)</f>
        <v>0.0749492634223521</v>
      </c>
    </row>
    <row r="26" customFormat="false" ht="15" hidden="false" customHeight="false" outlineLevel="0" collapsed="false">
      <c r="A26" s="0" t="s">
        <v>113</v>
      </c>
      <c r="B26" s="14" t="n">
        <f aca="false">SUMPRODUCT(B12:B21,E12:E21)</f>
        <v>0.060937</v>
      </c>
    </row>
    <row r="27" customFormat="false" ht="15" hidden="false" customHeight="false" outlineLevel="0" collapsed="false">
      <c r="A27" s="0" t="s">
        <v>114</v>
      </c>
      <c r="B27" s="21" t="n">
        <f aca="false">SUMPRODUCT(B12:B21,F12:F21)</f>
        <v>0.00693631874638362</v>
      </c>
    </row>
    <row r="28" customFormat="false" ht="15" hidden="false" customHeight="false" outlineLevel="0" collapsed="false">
      <c r="A28" s="0" t="s">
        <v>115</v>
      </c>
      <c r="B28" s="14" t="n">
        <f aca="false">SQRT(B27)</f>
        <v>0.0832845648747931</v>
      </c>
    </row>
    <row r="29" customFormat="false" ht="15" hidden="false" customHeight="false" outlineLevel="0" collapsed="false">
      <c r="A29" s="0" t="s">
        <v>116</v>
      </c>
      <c r="B29" s="20" t="n">
        <f aca="false">(B25-AssetStats!C18)/B28</f>
        <v>0.601393109247201</v>
      </c>
    </row>
    <row r="30" customFormat="false" ht="15" hidden="false" customHeight="false" outlineLevel="0" collapsed="false">
      <c r="A30" s="0" t="s">
        <v>117</v>
      </c>
      <c r="B30" s="20" t="n">
        <f aca="false">(B26-B4)/B28</f>
        <v>0.220172849886016</v>
      </c>
    </row>
    <row r="31" customFormat="false" ht="15" hidden="false" customHeight="false" outlineLevel="0" collapsed="false">
      <c r="A31" s="0" t="s">
        <v>118</v>
      </c>
      <c r="B31" s="16" t="n">
        <f aca="false">SUM(G12:G16)+G17</f>
        <v>0.787795212110918</v>
      </c>
    </row>
    <row r="32" customFormat="false" ht="15" hidden="false" customHeight="false" outlineLevel="0" collapsed="false">
      <c r="A32" s="0" t="s">
        <v>119</v>
      </c>
      <c r="B32" s="14" t="n">
        <f aca="false">-(B26-_xlfn.NORM.S.INV(0.95)*B28)</f>
        <v>0.0760539186033786</v>
      </c>
    </row>
    <row r="33" customFormat="false" ht="15" hidden="false" customHeight="false" outlineLevel="0" collapsed="false">
      <c r="A33" s="0" t="s">
        <v>120</v>
      </c>
      <c r="B33" s="6" t="n">
        <f aca="false">B32*Allocation!B2</f>
        <v>38026.9593016893</v>
      </c>
    </row>
    <row r="34" customFormat="false" ht="15" hidden="false" customHeight="false" outlineLevel="0" collapsed="false">
      <c r="A34" s="0" t="s">
        <v>121</v>
      </c>
      <c r="B34" s="14" t="n">
        <f aca="false">-(B26-B28*_xlfn.NORM.S.DIST(_xlfn.NORM.S.INV(0.95),FALSE())/0.05)</f>
        <v>0.110855138634919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14" min="3" style="0" width="11"/>
    <col collapsed="false" customWidth="true" hidden="false" outlineLevel="0" max="15" min="15" style="0" width="3"/>
    <col collapsed="false" customWidth="true" hidden="false" outlineLevel="0" max="16" min="16" style="0" width="30"/>
    <col collapsed="false" customWidth="true" hidden="false" outlineLevel="0" max="19" min="17" style="0" width="14"/>
  </cols>
  <sheetData>
    <row r="1" customFormat="false" ht="15" hidden="false" customHeight="false" outlineLevel="0" collapsed="false">
      <c r="A1" s="2" t="s">
        <v>122</v>
      </c>
    </row>
    <row r="3" customFormat="false" ht="41.75" hidden="false" customHeight="false" outlineLevel="0" collapsed="false">
      <c r="A3" s="5" t="s">
        <v>76</v>
      </c>
      <c r="B3" s="5" t="s">
        <v>123</v>
      </c>
      <c r="C3" s="5" t="s">
        <v>124</v>
      </c>
      <c r="D3" s="5" t="s">
        <v>125</v>
      </c>
      <c r="E3" s="5" t="s">
        <v>126</v>
      </c>
      <c r="F3" s="5" t="s">
        <v>127</v>
      </c>
      <c r="G3" s="5" t="s">
        <v>128</v>
      </c>
      <c r="H3" s="5" t="s">
        <v>129</v>
      </c>
      <c r="I3" s="5" t="s">
        <v>130</v>
      </c>
      <c r="J3" s="5" t="s">
        <v>131</v>
      </c>
      <c r="K3" s="5" t="s">
        <v>132</v>
      </c>
      <c r="L3" s="5" t="s">
        <v>133</v>
      </c>
      <c r="M3" s="5" t="s">
        <v>134</v>
      </c>
      <c r="N3" s="5" t="s">
        <v>135</v>
      </c>
      <c r="P3" s="22" t="s">
        <v>136</v>
      </c>
      <c r="Q3" s="22" t="s">
        <v>137</v>
      </c>
      <c r="R3" s="22" t="s">
        <v>138</v>
      </c>
      <c r="S3" s="22" t="s">
        <v>139</v>
      </c>
    </row>
    <row r="4" customFormat="false" ht="15" hidden="false" customHeight="false" outlineLevel="0" collapsed="false">
      <c r="A4" s="17" t="n">
        <v>42643</v>
      </c>
      <c r="F4" s="6" t="n">
        <f aca="false">Allocation!$B$2</f>
        <v>500000</v>
      </c>
      <c r="G4" s="6" t="n">
        <f aca="false">Allocation!$B$2</f>
        <v>500000</v>
      </c>
      <c r="H4" s="6" t="n">
        <f aca="false">Allocation!$B$2</f>
        <v>500000</v>
      </c>
      <c r="I4" s="6" t="n">
        <f aca="false">F4</f>
        <v>500000</v>
      </c>
      <c r="J4" s="6" t="n">
        <f aca="false">G4</f>
        <v>500000</v>
      </c>
      <c r="K4" s="6" t="n">
        <f aca="false">H4</f>
        <v>500000</v>
      </c>
      <c r="L4" s="0" t="n">
        <v>0</v>
      </c>
      <c r="M4" s="0" t="n">
        <v>0</v>
      </c>
      <c r="N4" s="0" t="n">
        <v>0</v>
      </c>
      <c r="P4" s="0" t="s">
        <v>85</v>
      </c>
      <c r="Q4" s="14" t="n">
        <f aca="false">(F124/F4)^(12/COUNT($C$5:$C$124))-1</f>
        <v>0.0753649295678034</v>
      </c>
      <c r="R4" s="14" t="n">
        <f aca="false">(G124/G4)^(12/COUNT($D$5:$D$124))-1</f>
        <v>0.0972945416024387</v>
      </c>
      <c r="S4" s="14" t="n">
        <f aca="false">(H124/H4)^(12/COUNT($E$5:$E$124))-1</f>
        <v>0.0795063003055367</v>
      </c>
    </row>
    <row r="5" customFormat="false" ht="15" hidden="false" customHeight="false" outlineLevel="0" collapsed="false">
      <c r="A5" s="17" t="n">
        <v>42674</v>
      </c>
      <c r="B5" s="19" t="n">
        <v>0.00024167</v>
      </c>
      <c r="C5" s="14" t="n">
        <v>-0.01390103</v>
      </c>
      <c r="D5" s="14" t="n">
        <v>-0.01367089</v>
      </c>
      <c r="E5" s="14" t="n">
        <v>-0.01584366</v>
      </c>
      <c r="F5" s="6" t="n">
        <f aca="false">F4*(1+C5)</f>
        <v>493049.485</v>
      </c>
      <c r="G5" s="6" t="n">
        <f aca="false">G4*(1+D5)</f>
        <v>493164.555</v>
      </c>
      <c r="H5" s="6" t="n">
        <f aca="false">H4*(1+E5)</f>
        <v>492078.17</v>
      </c>
      <c r="I5" s="6" t="n">
        <f aca="false">MAX(I4,F5)</f>
        <v>500000</v>
      </c>
      <c r="J5" s="6" t="n">
        <f aca="false">MAX(J4,G5)</f>
        <v>500000</v>
      </c>
      <c r="K5" s="6" t="n">
        <f aca="false">MAX(K4,H5)</f>
        <v>500000</v>
      </c>
      <c r="L5" s="14" t="n">
        <f aca="false">F5/I5-1</f>
        <v>-0.01390103</v>
      </c>
      <c r="M5" s="14" t="n">
        <f aca="false">G5/J5-1</f>
        <v>-0.01367089</v>
      </c>
      <c r="N5" s="14" t="n">
        <f aca="false">H5/K5-1</f>
        <v>-0.01584366</v>
      </c>
      <c r="P5" s="0" t="s">
        <v>140</v>
      </c>
      <c r="Q5" s="14" t="n">
        <f aca="false">_xlfn.STDEV.S($C$5:$C$124)*SQRT(12)</f>
        <v>0.0827851947468716</v>
      </c>
      <c r="R5" s="14" t="n">
        <f aca="false">_xlfn.STDEV.S($D$5:$D$124)*SQRT(12)</f>
        <v>0.102081824335855</v>
      </c>
      <c r="S5" s="14" t="n">
        <f aca="false">_xlfn.STDEV.S($E$5:$E$124)*SQRT(12)</f>
        <v>0.100088971897121</v>
      </c>
    </row>
    <row r="6" customFormat="false" ht="15" hidden="false" customHeight="false" outlineLevel="0" collapsed="false">
      <c r="A6" s="17" t="n">
        <v>42704</v>
      </c>
      <c r="B6" s="19" t="n">
        <v>0.00028333</v>
      </c>
      <c r="C6" s="14" t="n">
        <v>-0.00309298</v>
      </c>
      <c r="D6" s="14" t="n">
        <v>0.01170191</v>
      </c>
      <c r="E6" s="14" t="n">
        <v>-0.00346881</v>
      </c>
      <c r="F6" s="6" t="n">
        <f aca="false">F5*(1+C6)</f>
        <v>491524.492803885</v>
      </c>
      <c r="G6" s="6" t="n">
        <f aca="false">G5*(1+D6)</f>
        <v>498935.5222378</v>
      </c>
      <c r="H6" s="6" t="n">
        <f aca="false">H5*(1+E6)</f>
        <v>490371.244323122</v>
      </c>
      <c r="I6" s="6" t="n">
        <f aca="false">MAX(I5,F6)</f>
        <v>500000</v>
      </c>
      <c r="J6" s="6" t="n">
        <f aca="false">MAX(J5,G6)</f>
        <v>500000</v>
      </c>
      <c r="K6" s="6" t="n">
        <f aca="false">MAX(K5,H6)</f>
        <v>500000</v>
      </c>
      <c r="L6" s="14" t="n">
        <f aca="false">F6/I6-1</f>
        <v>-0.0169510143922307</v>
      </c>
      <c r="M6" s="14" t="n">
        <f aca="false">G6/J6-1</f>
        <v>-0.00212895552439985</v>
      </c>
      <c r="N6" s="14" t="n">
        <f aca="false">H6/K6-1</f>
        <v>-0.0192575113537554</v>
      </c>
      <c r="P6" s="0" t="s">
        <v>87</v>
      </c>
      <c r="Q6" s="20" t="n">
        <f aca="false">(AVERAGE($C$5:$C$124)-AVERAGE($B$5:$B$124))*12/(_xlfn.STDEV.S($C$5:$C$124)*SQRT(12))</f>
        <v>0.621195977822392</v>
      </c>
      <c r="R6" s="20" t="n">
        <f aca="false">(AVERAGE($D$5:$D$124)-AVERAGE($B$5:$B$124))*12/(_xlfn.STDEV.S($D$5:$D$124)*SQRT(12))</f>
        <v>0.720167732877975</v>
      </c>
      <c r="S6" s="20" t="n">
        <f aca="false">(AVERAGE($E$5:$E$124)-AVERAGE($B$5:$B$124))*12/(_xlfn.STDEV.S($E$5:$E$124)*SQRT(12))</f>
        <v>0.568242094228523</v>
      </c>
    </row>
    <row r="7" customFormat="false" ht="15" hidden="false" customHeight="false" outlineLevel="0" collapsed="false">
      <c r="A7" s="17" t="n">
        <v>42735</v>
      </c>
      <c r="B7" s="19" t="n">
        <v>0.0004</v>
      </c>
      <c r="C7" s="14" t="n">
        <v>0.00988272</v>
      </c>
      <c r="D7" s="14" t="n">
        <v>0.01338642</v>
      </c>
      <c r="E7" s="14" t="n">
        <v>0.01578077</v>
      </c>
      <c r="F7" s="6" t="n">
        <f aca="false">F6*(1+C7)</f>
        <v>496382.091739408</v>
      </c>
      <c r="G7" s="6" t="n">
        <f aca="false">G6*(1+D7)</f>
        <v>505614.482691395</v>
      </c>
      <c r="H7" s="6" t="n">
        <f aca="false">H6*(1+E7)</f>
        <v>498109.680144399</v>
      </c>
      <c r="I7" s="6" t="n">
        <f aca="false">MAX(I6,F7)</f>
        <v>500000</v>
      </c>
      <c r="J7" s="6" t="n">
        <f aca="false">MAX(J6,G7)</f>
        <v>505614.482691395</v>
      </c>
      <c r="K7" s="6" t="n">
        <f aca="false">MAX(K6,H7)</f>
        <v>500000</v>
      </c>
      <c r="L7" s="14" t="n">
        <f aca="false">F7/I7-1</f>
        <v>-0.00723581652118499</v>
      </c>
      <c r="M7" s="14" t="n">
        <f aca="false">G7/J7-1</f>
        <v>0</v>
      </c>
      <c r="N7" s="14" t="n">
        <f aca="false">H7/K7-1</f>
        <v>-0.00378063971120135</v>
      </c>
      <c r="P7" s="0" t="s">
        <v>141</v>
      </c>
      <c r="Q7" s="20" t="n">
        <f aca="false">(AVERAGE($C$5:$C$124)-AVERAGE($B$5:$B$124))*12/(SQRT(SUMPRODUCT((($C$5:$C$124-$B$5:$B$124)&lt;0)*($C$5:$C$124-$B$5:$B$124)^2)/COUNT($C$5:$C$124))*SQRT(12))</f>
        <v>0.922573731560112</v>
      </c>
      <c r="R7" s="20" t="n">
        <f aca="false">(AVERAGE($D$5:$D$124)-AVERAGE($B$5:$B$124))*12/(SQRT(SUMPRODUCT((($D$5:$D$124-$B$5:$B$124)&lt;0)*($D$5:$D$124-$B$5:$B$124)^2)/COUNT($D$5:$D$124))*SQRT(12))</f>
        <v>1.10497356212514</v>
      </c>
      <c r="S7" s="20" t="n">
        <f aca="false">(AVERAGE($E$5:$E$124)-AVERAGE($B$5:$B$124))*12/(SQRT(SUMPRODUCT((($E$5:$E$124-$B$5:$B$124)&lt;0)*($E$5:$E$124-$B$5:$B$124)^2)/COUNT($E$5:$E$124))*SQRT(12))</f>
        <v>0.836469256063774</v>
      </c>
    </row>
    <row r="8" customFormat="false" ht="15" hidden="false" customHeight="false" outlineLevel="0" collapsed="false">
      <c r="A8" s="17" t="n">
        <v>42766</v>
      </c>
      <c r="B8" s="19" t="n">
        <v>0.000425</v>
      </c>
      <c r="C8" s="14" t="n">
        <v>0.01664406</v>
      </c>
      <c r="D8" s="14" t="n">
        <v>0.01158792</v>
      </c>
      <c r="E8" s="14" t="n">
        <v>0.01306082</v>
      </c>
      <c r="F8" s="6" t="n">
        <f aca="false">F7*(1+C8)</f>
        <v>504643.905057244</v>
      </c>
      <c r="G8" s="6" t="n">
        <f aca="false">G7*(1+D8)</f>
        <v>511473.502867664</v>
      </c>
      <c r="H8" s="6" t="n">
        <f aca="false">H7*(1+E8)</f>
        <v>504615.401017023</v>
      </c>
      <c r="I8" s="6" t="n">
        <f aca="false">MAX(I7,F8)</f>
        <v>504643.905057244</v>
      </c>
      <c r="J8" s="6" t="n">
        <f aca="false">MAX(J7,G8)</f>
        <v>511473.502867664</v>
      </c>
      <c r="K8" s="6" t="n">
        <f aca="false">MAX(K7,H8)</f>
        <v>504615.401017023</v>
      </c>
      <c r="L8" s="14" t="n">
        <f aca="false">F8/I8-1</f>
        <v>0</v>
      </c>
      <c r="M8" s="14" t="n">
        <f aca="false">G8/J8-1</f>
        <v>0</v>
      </c>
      <c r="N8" s="14" t="n">
        <f aca="false">H8/K8-1</f>
        <v>0</v>
      </c>
      <c r="P8" s="0" t="s">
        <v>142</v>
      </c>
      <c r="Q8" s="14" t="n">
        <f aca="false">MIN($L$5:$L$124)</f>
        <v>-0.170103148796578</v>
      </c>
      <c r="R8" s="14" t="n">
        <f aca="false">MIN($M$5:$M$124)</f>
        <v>-0.200849832588891</v>
      </c>
      <c r="S8" s="14" t="n">
        <f aca="false">MIN($N$5:$N$124)</f>
        <v>-0.207509105179106</v>
      </c>
    </row>
    <row r="9" customFormat="false" ht="15" hidden="false" customHeight="false" outlineLevel="0" collapsed="false">
      <c r="A9" s="17" t="n">
        <v>42794</v>
      </c>
      <c r="B9" s="19" t="n">
        <v>0.00043333</v>
      </c>
      <c r="C9" s="14" t="n">
        <v>0.0157404</v>
      </c>
      <c r="D9" s="14" t="n">
        <v>0.02628135</v>
      </c>
      <c r="E9" s="14" t="n">
        <v>0.02164929</v>
      </c>
      <c r="F9" s="6" t="n">
        <f aca="false">F8*(1+C9)</f>
        <v>512587.201980407</v>
      </c>
      <c r="G9" s="6" t="n">
        <f aca="false">G8*(1+D9)</f>
        <v>524915.717012255</v>
      </c>
      <c r="H9" s="6" t="n">
        <f aca="false">H8*(1+E9)</f>
        <v>515539.966172107</v>
      </c>
      <c r="I9" s="6" t="n">
        <f aca="false">MAX(I8,F9)</f>
        <v>512587.201980407</v>
      </c>
      <c r="J9" s="6" t="n">
        <f aca="false">MAX(J8,G9)</f>
        <v>524915.717012255</v>
      </c>
      <c r="K9" s="6" t="n">
        <f aca="false">MAX(K8,H9)</f>
        <v>515539.966172107</v>
      </c>
      <c r="L9" s="14" t="n">
        <f aca="false">F9/I9-1</f>
        <v>0</v>
      </c>
      <c r="M9" s="14" t="n">
        <f aca="false">G9/J9-1</f>
        <v>0</v>
      </c>
      <c r="N9" s="14" t="n">
        <f aca="false">H9/K9-1</f>
        <v>0</v>
      </c>
      <c r="P9" s="0" t="s">
        <v>143</v>
      </c>
      <c r="Q9" s="14" t="n">
        <f aca="false">MIN($C$5:$C$124)</f>
        <v>-0.07295185</v>
      </c>
      <c r="R9" s="14" t="n">
        <f aca="false">MIN($D$5:$D$124)</f>
        <v>-0.07364217</v>
      </c>
      <c r="S9" s="14" t="n">
        <f aca="false">MIN($E$5:$E$124)</f>
        <v>-0.09452928</v>
      </c>
    </row>
    <row r="10" customFormat="false" ht="15" hidden="false" customHeight="false" outlineLevel="0" collapsed="false">
      <c r="A10" s="17" t="n">
        <v>42825</v>
      </c>
      <c r="B10" s="19" t="n">
        <v>0.00044167</v>
      </c>
      <c r="C10" s="14" t="n">
        <v>0.00390662</v>
      </c>
      <c r="D10" s="14" t="n">
        <v>0.00053746</v>
      </c>
      <c r="E10" s="14" t="n">
        <v>0.00928528</v>
      </c>
      <c r="F10" s="6" t="n">
        <f aca="false">F9*(1+C10)</f>
        <v>514589.685395408</v>
      </c>
      <c r="G10" s="6" t="n">
        <f aca="false">G9*(1+D10)</f>
        <v>525197.83821352</v>
      </c>
      <c r="H10" s="6" t="n">
        <f aca="false">H9*(1+E10)</f>
        <v>520326.899109205</v>
      </c>
      <c r="I10" s="6" t="n">
        <f aca="false">MAX(I9,F10)</f>
        <v>514589.685395408</v>
      </c>
      <c r="J10" s="6" t="n">
        <f aca="false">MAX(J9,G10)</f>
        <v>525197.83821352</v>
      </c>
      <c r="K10" s="6" t="n">
        <f aca="false">MAX(K9,H10)</f>
        <v>520326.899109205</v>
      </c>
      <c r="L10" s="14" t="n">
        <f aca="false">F10/I10-1</f>
        <v>0</v>
      </c>
      <c r="M10" s="14" t="n">
        <f aca="false">G10/J10-1</f>
        <v>0</v>
      </c>
      <c r="N10" s="14" t="n">
        <f aca="false">H10/K10-1</f>
        <v>0</v>
      </c>
      <c r="P10" s="0" t="s">
        <v>144</v>
      </c>
      <c r="Q10" s="14" t="n">
        <f aca="false">MAX($C$5:$C$124)</f>
        <v>0.06582016</v>
      </c>
      <c r="R10" s="14" t="n">
        <f aca="false">MAX($D$5:$D$124)</f>
        <v>0.08306647</v>
      </c>
      <c r="S10" s="14" t="n">
        <f aca="false">MAX($E$5:$E$124)</f>
        <v>0.07536831</v>
      </c>
    </row>
    <row r="11" customFormat="false" ht="15" hidden="false" customHeight="false" outlineLevel="0" collapsed="false">
      <c r="A11" s="17" t="n">
        <v>42855</v>
      </c>
      <c r="B11" s="19" t="n">
        <v>0.00063333</v>
      </c>
      <c r="C11" s="14" t="n">
        <v>0.00988674</v>
      </c>
      <c r="D11" s="14" t="n">
        <v>0.00958416</v>
      </c>
      <c r="E11" s="14" t="n">
        <v>0.0138035</v>
      </c>
      <c r="F11" s="6" t="n">
        <f aca="false">F10*(1+C11)</f>
        <v>519677.299821594</v>
      </c>
      <c r="G11" s="6" t="n">
        <f aca="false">G10*(1+D11)</f>
        <v>530231.418326613</v>
      </c>
      <c r="H11" s="6" t="n">
        <f aca="false">H10*(1+E11)</f>
        <v>527509.231461059</v>
      </c>
      <c r="I11" s="6" t="n">
        <f aca="false">MAX(I10,F11)</f>
        <v>519677.299821594</v>
      </c>
      <c r="J11" s="6" t="n">
        <f aca="false">MAX(J10,G11)</f>
        <v>530231.418326613</v>
      </c>
      <c r="K11" s="6" t="n">
        <f aca="false">MAX(K10,H11)</f>
        <v>527509.231461059</v>
      </c>
      <c r="L11" s="14" t="n">
        <f aca="false">F11/I11-1</f>
        <v>0</v>
      </c>
      <c r="M11" s="14" t="n">
        <f aca="false">G11/J11-1</f>
        <v>0</v>
      </c>
      <c r="N11" s="14" t="n">
        <f aca="false">H11/K11-1</f>
        <v>0</v>
      </c>
      <c r="P11" s="0" t="s">
        <v>145</v>
      </c>
      <c r="Q11" s="16" t="n">
        <f aca="false">COUNTIF($C$5:$C$124,"&gt;0")/COUNT($C$5:$C$124)</f>
        <v>0.683333333333333</v>
      </c>
      <c r="R11" s="16" t="n">
        <f aca="false">COUNTIF($D$5:$D$124,"&gt;0")/COUNT($D$5:$D$124)</f>
        <v>0.7</v>
      </c>
      <c r="S11" s="16" t="n">
        <f aca="false">COUNTIF($E$5:$E$124,"&gt;0")/COUNT($E$5:$E$124)</f>
        <v>0.65</v>
      </c>
    </row>
    <row r="12" customFormat="false" ht="15" hidden="false" customHeight="false" outlineLevel="0" collapsed="false">
      <c r="A12" s="17" t="n">
        <v>42886</v>
      </c>
      <c r="B12" s="19" t="n">
        <v>0.00066667</v>
      </c>
      <c r="C12" s="14" t="n">
        <v>0.0080217</v>
      </c>
      <c r="D12" s="14" t="n">
        <v>0.01121737</v>
      </c>
      <c r="E12" s="14" t="n">
        <v>0.01517948</v>
      </c>
      <c r="F12" s="6" t="n">
        <f aca="false">F11*(1+C12)</f>
        <v>523845.995217573</v>
      </c>
      <c r="G12" s="6" t="n">
        <f aca="false">G11*(1+D12)</f>
        <v>536179.220331607</v>
      </c>
      <c r="H12" s="6" t="n">
        <f aca="false">H11*(1+E12)</f>
        <v>535516.547289838</v>
      </c>
      <c r="I12" s="6" t="n">
        <f aca="false">MAX(I11,F12)</f>
        <v>523845.995217573</v>
      </c>
      <c r="J12" s="6" t="n">
        <f aca="false">MAX(J11,G12)</f>
        <v>536179.220331607</v>
      </c>
      <c r="K12" s="6" t="n">
        <f aca="false">MAX(K11,H12)</f>
        <v>535516.547289838</v>
      </c>
      <c r="L12" s="14" t="n">
        <f aca="false">F12/I12-1</f>
        <v>0</v>
      </c>
      <c r="M12" s="14" t="n">
        <f aca="false">G12/J12-1</f>
        <v>0</v>
      </c>
      <c r="N12" s="14" t="n">
        <f aca="false">H12/K12-1</f>
        <v>0</v>
      </c>
      <c r="P12" s="0" t="s">
        <v>146</v>
      </c>
      <c r="Q12" s="6" t="n">
        <f aca="false">F124</f>
        <v>1034019.41532852</v>
      </c>
      <c r="R12" s="6" t="n">
        <f aca="false">G124</f>
        <v>1265325.30290596</v>
      </c>
      <c r="S12" s="6" t="n">
        <f aca="false">H124</f>
        <v>1074538.09715768</v>
      </c>
    </row>
    <row r="13" customFormat="false" ht="15" hidden="false" customHeight="false" outlineLevel="0" collapsed="false">
      <c r="A13" s="17" t="n">
        <v>42916</v>
      </c>
      <c r="B13" s="19" t="n">
        <v>0.00081667</v>
      </c>
      <c r="C13" s="14" t="n">
        <v>0.00599441</v>
      </c>
      <c r="D13" s="14" t="n">
        <v>0.00376092</v>
      </c>
      <c r="E13" s="14" t="n">
        <v>0.00322068</v>
      </c>
      <c r="F13" s="6" t="n">
        <f aca="false">F12*(1+C13)</f>
        <v>526986.142889765</v>
      </c>
      <c r="G13" s="6" t="n">
        <f aca="false">G12*(1+D13)</f>
        <v>538195.747484937</v>
      </c>
      <c r="H13" s="6" t="n">
        <f aca="false">H12*(1+E13)</f>
        <v>537241.274723363</v>
      </c>
      <c r="I13" s="6" t="n">
        <f aca="false">MAX(I12,F13)</f>
        <v>526986.142889765</v>
      </c>
      <c r="J13" s="6" t="n">
        <f aca="false">MAX(J12,G13)</f>
        <v>538195.747484937</v>
      </c>
      <c r="K13" s="6" t="n">
        <f aca="false">MAX(K12,H13)</f>
        <v>537241.274723363</v>
      </c>
      <c r="L13" s="14" t="n">
        <f aca="false">F13/I13-1</f>
        <v>0</v>
      </c>
      <c r="M13" s="14" t="n">
        <f aca="false">G13/J13-1</f>
        <v>0</v>
      </c>
      <c r="N13" s="14" t="n">
        <f aca="false">H13/K13-1</f>
        <v>0</v>
      </c>
    </row>
    <row r="14" customFormat="false" ht="15" hidden="false" customHeight="false" outlineLevel="0" collapsed="false">
      <c r="A14" s="17" t="n">
        <v>42947</v>
      </c>
      <c r="B14" s="19" t="n">
        <v>0.00085833</v>
      </c>
      <c r="C14" s="14" t="n">
        <v>0.01425967</v>
      </c>
      <c r="D14" s="14" t="n">
        <v>0.01366858</v>
      </c>
      <c r="E14" s="14" t="n">
        <v>0.01916432</v>
      </c>
      <c r="F14" s="6" t="n">
        <f aca="false">F13*(1+C14)</f>
        <v>534500.791381946</v>
      </c>
      <c r="G14" s="6" t="n">
        <f aca="false">G13*(1+D14)</f>
        <v>545552.119115094</v>
      </c>
      <c r="H14" s="6" t="n">
        <f aca="false">H13*(1+E14)</f>
        <v>547537.13842937</v>
      </c>
      <c r="I14" s="6" t="n">
        <f aca="false">MAX(I13,F14)</f>
        <v>534500.791381946</v>
      </c>
      <c r="J14" s="6" t="n">
        <f aca="false">MAX(J13,G14)</f>
        <v>545552.119115094</v>
      </c>
      <c r="K14" s="6" t="n">
        <f aca="false">MAX(K13,H14)</f>
        <v>547537.13842937</v>
      </c>
      <c r="L14" s="14" t="n">
        <f aca="false">F14/I14-1</f>
        <v>0</v>
      </c>
      <c r="M14" s="14" t="n">
        <f aca="false">G14/J14-1</f>
        <v>0</v>
      </c>
      <c r="N14" s="14" t="n">
        <f aca="false">H14/K14-1</f>
        <v>0</v>
      </c>
    </row>
    <row r="15" customFormat="false" ht="15" hidden="false" customHeight="false" outlineLevel="0" collapsed="false">
      <c r="A15" s="17" t="n">
        <v>42978</v>
      </c>
      <c r="B15" s="19" t="n">
        <v>0.00089167</v>
      </c>
      <c r="C15" s="14" t="n">
        <v>0.00905626</v>
      </c>
      <c r="D15" s="14" t="n">
        <v>0.0054893</v>
      </c>
      <c r="E15" s="14" t="n">
        <v>0.00475993</v>
      </c>
      <c r="F15" s="6" t="n">
        <f aca="false">F14*(1+C15)</f>
        <v>539341.369518906</v>
      </c>
      <c r="G15" s="6" t="n">
        <f aca="false">G14*(1+D15)</f>
        <v>548546.818362553</v>
      </c>
      <c r="H15" s="6" t="n">
        <f aca="false">H14*(1+E15)</f>
        <v>550143.376880694</v>
      </c>
      <c r="I15" s="6" t="n">
        <f aca="false">MAX(I14,F15)</f>
        <v>539341.369518906</v>
      </c>
      <c r="J15" s="6" t="n">
        <f aca="false">MAX(J14,G15)</f>
        <v>548546.818362553</v>
      </c>
      <c r="K15" s="6" t="n">
        <f aca="false">MAX(K14,H15)</f>
        <v>550143.376880694</v>
      </c>
      <c r="L15" s="14" t="n">
        <f aca="false">F15/I15-1</f>
        <v>0</v>
      </c>
      <c r="M15" s="14" t="n">
        <f aca="false">G15/J15-1</f>
        <v>0</v>
      </c>
      <c r="N15" s="14" t="n">
        <f aca="false">H15/K15-1</f>
        <v>0</v>
      </c>
      <c r="P15" s="2" t="s">
        <v>147</v>
      </c>
    </row>
    <row r="16" customFormat="false" ht="15" hidden="false" customHeight="false" outlineLevel="0" collapsed="false">
      <c r="A16" s="17" t="n">
        <v>43008</v>
      </c>
      <c r="B16" s="19" t="n">
        <v>0.00084167</v>
      </c>
      <c r="C16" s="14" t="n">
        <v>0.00353706</v>
      </c>
      <c r="D16" s="14" t="n">
        <v>0.0098599</v>
      </c>
      <c r="E16" s="14" t="n">
        <v>0.01127936</v>
      </c>
      <c r="F16" s="6" t="n">
        <f aca="false">F15*(1+C16)</f>
        <v>541249.052303377</v>
      </c>
      <c r="G16" s="6" t="n">
        <f aca="false">G15*(1+D16)</f>
        <v>553955.435136926</v>
      </c>
      <c r="H16" s="6" t="n">
        <f aca="false">H15*(1+E16)</f>
        <v>556348.642080147</v>
      </c>
      <c r="I16" s="6" t="n">
        <f aca="false">MAX(I15,F16)</f>
        <v>541249.052303377</v>
      </c>
      <c r="J16" s="6" t="n">
        <f aca="false">MAX(J15,G16)</f>
        <v>553955.435136926</v>
      </c>
      <c r="K16" s="6" t="n">
        <f aca="false">MAX(K15,H16)</f>
        <v>556348.642080147</v>
      </c>
      <c r="L16" s="14" t="n">
        <f aca="false">F16/I16-1</f>
        <v>0</v>
      </c>
      <c r="M16" s="14" t="n">
        <f aca="false">G16/J16-1</f>
        <v>0</v>
      </c>
      <c r="N16" s="14" t="n">
        <f aca="false">H16/K16-1</f>
        <v>0</v>
      </c>
      <c r="P16" s="0" t="n">
        <v>2017</v>
      </c>
      <c r="Q16" s="14" t="n">
        <f aca="false">EXP(SUMPRODUCT((YEAR($A$5:$A$124)=P16)*LN(1+$C$5:$C$124)))-1</f>
        <v>0.121194031682956</v>
      </c>
      <c r="R16" s="14" t="n">
        <f aca="false">EXP(SUMPRODUCT((YEAR($A$5:$A$124)=P16)*LN(1+$D$5:$D$124)))-1</f>
        <v>0.141917890287339</v>
      </c>
      <c r="S16" s="14" t="n">
        <f aca="false">EXP(SUMPRODUCT((YEAR($A$5:$A$124)=P16)*LN(1+$E$5:$E$124)))-1</f>
        <v>0.158025782045089</v>
      </c>
    </row>
    <row r="17" customFormat="false" ht="15" hidden="false" customHeight="false" outlineLevel="0" collapsed="false">
      <c r="A17" s="17" t="n">
        <v>43039</v>
      </c>
      <c r="B17" s="19" t="n">
        <v>0.00088333</v>
      </c>
      <c r="C17" s="14" t="n">
        <v>0.00745092</v>
      </c>
      <c r="D17" s="14" t="n">
        <v>0.01453005</v>
      </c>
      <c r="E17" s="14" t="n">
        <v>0.01412094</v>
      </c>
      <c r="F17" s="6" t="n">
        <f aca="false">F16*(1+C17)</f>
        <v>545281.855692165</v>
      </c>
      <c r="G17" s="6" t="n">
        <f aca="false">G16*(1+D17)</f>
        <v>562004.435307237</v>
      </c>
      <c r="H17" s="6" t="n">
        <f aca="false">H16*(1+E17)</f>
        <v>564204.807874042</v>
      </c>
      <c r="I17" s="6" t="n">
        <f aca="false">MAX(I16,F17)</f>
        <v>545281.855692165</v>
      </c>
      <c r="J17" s="6" t="n">
        <f aca="false">MAX(J16,G17)</f>
        <v>562004.435307237</v>
      </c>
      <c r="K17" s="6" t="n">
        <f aca="false">MAX(K16,H17)</f>
        <v>564204.807874042</v>
      </c>
      <c r="L17" s="14" t="n">
        <f aca="false">F17/I17-1</f>
        <v>0</v>
      </c>
      <c r="M17" s="14" t="n">
        <f aca="false">G17/J17-1</f>
        <v>0</v>
      </c>
      <c r="N17" s="14" t="n">
        <f aca="false">H17/K17-1</f>
        <v>0</v>
      </c>
      <c r="P17" s="0" t="n">
        <v>2018</v>
      </c>
      <c r="Q17" s="14" t="n">
        <f aca="false">EXP(SUMPRODUCT((YEAR($A$5:$A$124)=P17)*LN(1+$C$5:$C$124)))-1</f>
        <v>-0.0334016041928481</v>
      </c>
      <c r="R17" s="14" t="n">
        <f aca="false">EXP(SUMPRODUCT((YEAR($A$5:$A$124)=P17)*LN(1+$D$5:$D$124)))-1</f>
        <v>-0.0223366733046176</v>
      </c>
      <c r="S17" s="14" t="n">
        <f aca="false">EXP(SUMPRODUCT((YEAR($A$5:$A$124)=P17)*LN(1+$E$5:$E$124)))-1</f>
        <v>-0.0582606463323379</v>
      </c>
    </row>
    <row r="18" customFormat="false" ht="15" hidden="false" customHeight="false" outlineLevel="0" collapsed="false">
      <c r="A18" s="17" t="n">
        <v>43069</v>
      </c>
      <c r="B18" s="19" t="n">
        <v>0.00095833</v>
      </c>
      <c r="C18" s="14" t="n">
        <v>0.00829678</v>
      </c>
      <c r="D18" s="14" t="n">
        <v>0.01791752</v>
      </c>
      <c r="E18" s="14" t="n">
        <v>0.01192048</v>
      </c>
      <c r="F18" s="6" t="n">
        <f aca="false">F17*(1+C18)</f>
        <v>549805.939286835</v>
      </c>
      <c r="G18" s="6" t="n">
        <f aca="false">G17*(1+D18)</f>
        <v>572074.161016943</v>
      </c>
      <c r="H18" s="6" t="n">
        <f aca="false">H17*(1+E18)</f>
        <v>570930.400002209</v>
      </c>
      <c r="I18" s="6" t="n">
        <f aca="false">MAX(I17,F18)</f>
        <v>549805.939286835</v>
      </c>
      <c r="J18" s="6" t="n">
        <f aca="false">MAX(J17,G18)</f>
        <v>572074.161016943</v>
      </c>
      <c r="K18" s="6" t="n">
        <f aca="false">MAX(K17,H18)</f>
        <v>570930.400002209</v>
      </c>
      <c r="L18" s="14" t="n">
        <f aca="false">F18/I18-1</f>
        <v>0</v>
      </c>
      <c r="M18" s="14" t="n">
        <f aca="false">G18/J18-1</f>
        <v>0</v>
      </c>
      <c r="N18" s="14" t="n">
        <f aca="false">H18/K18-1</f>
        <v>0</v>
      </c>
      <c r="P18" s="0" t="n">
        <v>2019</v>
      </c>
      <c r="Q18" s="14" t="n">
        <f aca="false">EXP(SUMPRODUCT((YEAR($A$5:$A$124)=P18)*LN(1+$C$5:$C$124)))-1</f>
        <v>0.161667638178562</v>
      </c>
      <c r="R18" s="14" t="n">
        <f aca="false">EXP(SUMPRODUCT((YEAR($A$5:$A$124)=P18)*LN(1+$D$5:$D$124)))-1</f>
        <v>0.218338673812054</v>
      </c>
      <c r="S18" s="14" t="n">
        <f aca="false">EXP(SUMPRODUCT((YEAR($A$5:$A$124)=P18)*LN(1+$E$5:$E$124)))-1</f>
        <v>0.189076233998427</v>
      </c>
    </row>
    <row r="19" customFormat="false" ht="15" hidden="false" customHeight="false" outlineLevel="0" collapsed="false">
      <c r="A19" s="17" t="n">
        <v>43100</v>
      </c>
      <c r="B19" s="19" t="n">
        <v>0.00105833</v>
      </c>
      <c r="C19" s="14" t="n">
        <v>0.01224923</v>
      </c>
      <c r="D19" s="14" t="n">
        <v>0.00925765</v>
      </c>
      <c r="E19" s="14" t="n">
        <v>0.01032254</v>
      </c>
      <c r="F19" s="6" t="n">
        <f aca="false">F18*(1+C19)</f>
        <v>556540.638692525</v>
      </c>
      <c r="G19" s="6" t="n">
        <f aca="false">G18*(1+D19)</f>
        <v>577370.223373682</v>
      </c>
      <c r="H19" s="6" t="n">
        <f aca="false">H18*(1+E19)</f>
        <v>576823.851893448</v>
      </c>
      <c r="I19" s="6" t="n">
        <f aca="false">MAX(I18,F19)</f>
        <v>556540.638692525</v>
      </c>
      <c r="J19" s="6" t="n">
        <f aca="false">MAX(J18,G19)</f>
        <v>577370.223373682</v>
      </c>
      <c r="K19" s="6" t="n">
        <f aca="false">MAX(K18,H19)</f>
        <v>576823.851893448</v>
      </c>
      <c r="L19" s="14" t="n">
        <f aca="false">F19/I19-1</f>
        <v>0</v>
      </c>
      <c r="M19" s="14" t="n">
        <f aca="false">G19/J19-1</f>
        <v>0</v>
      </c>
      <c r="N19" s="14" t="n">
        <f aca="false">H19/K19-1</f>
        <v>0</v>
      </c>
      <c r="P19" s="0" t="n">
        <v>2020</v>
      </c>
      <c r="Q19" s="14" t="n">
        <f aca="false">EXP(SUMPRODUCT((YEAR($A$5:$A$124)=P19)*LN(1+$C$5:$C$124)))-1</f>
        <v>0.135788791616015</v>
      </c>
      <c r="R19" s="14" t="n">
        <f aca="false">EXP(SUMPRODUCT((YEAR($A$5:$A$124)=P19)*LN(1+$D$5:$D$124)))-1</f>
        <v>0.152660095503316</v>
      </c>
      <c r="S19" s="14" t="n">
        <f aca="false">EXP(SUMPRODUCT((YEAR($A$5:$A$124)=P19)*LN(1+$E$5:$E$124)))-1</f>
        <v>0.11423861408181</v>
      </c>
    </row>
    <row r="20" customFormat="false" ht="15" hidden="false" customHeight="false" outlineLevel="0" collapsed="false">
      <c r="A20" s="17" t="n">
        <v>43131</v>
      </c>
      <c r="B20" s="19" t="n">
        <v>0.00115833</v>
      </c>
      <c r="C20" s="14" t="n">
        <v>0.02298712</v>
      </c>
      <c r="D20" s="14" t="n">
        <v>0.02931528</v>
      </c>
      <c r="E20" s="14" t="n">
        <v>0.02916316</v>
      </c>
      <c r="F20" s="6" t="n">
        <f aca="false">F19*(1+C20)</f>
        <v>569333.905139027</v>
      </c>
      <c r="G20" s="6" t="n">
        <f aca="false">G19*(1+D20)</f>
        <v>594295.993135544</v>
      </c>
      <c r="H20" s="6" t="n">
        <f aca="false">H19*(1+E20)</f>
        <v>593645.858178032</v>
      </c>
      <c r="I20" s="6" t="n">
        <f aca="false">MAX(I19,F20)</f>
        <v>569333.905139027</v>
      </c>
      <c r="J20" s="6" t="n">
        <f aca="false">MAX(J19,G20)</f>
        <v>594295.993135544</v>
      </c>
      <c r="K20" s="6" t="n">
        <f aca="false">MAX(K19,H20)</f>
        <v>593645.858178032</v>
      </c>
      <c r="L20" s="14" t="n">
        <f aca="false">F20/I20-1</f>
        <v>0</v>
      </c>
      <c r="M20" s="14" t="n">
        <f aca="false">G20/J20-1</f>
        <v>0</v>
      </c>
      <c r="N20" s="14" t="n">
        <f aca="false">H20/K20-1</f>
        <v>0</v>
      </c>
      <c r="P20" s="0" t="n">
        <v>2021</v>
      </c>
      <c r="Q20" s="14" t="n">
        <f aca="false">EXP(SUMPRODUCT((YEAR($A$5:$A$124)=P20)*LN(1+$C$5:$C$124)))-1</f>
        <v>0.106754300128708</v>
      </c>
      <c r="R20" s="14" t="n">
        <f aca="false">EXP(SUMPRODUCT((YEAR($A$5:$A$124)=P20)*LN(1+$D$5:$D$124)))-1</f>
        <v>0.158628455291044</v>
      </c>
      <c r="S20" s="14" t="n">
        <f aca="false">EXP(SUMPRODUCT((YEAR($A$5:$A$124)=P20)*LN(1+$E$5:$E$124)))-1</f>
        <v>0.111864589496216</v>
      </c>
    </row>
    <row r="21" customFormat="false" ht="15" hidden="false" customHeight="false" outlineLevel="0" collapsed="false">
      <c r="A21" s="17" t="n">
        <v>43159</v>
      </c>
      <c r="B21" s="19" t="n">
        <v>0.00121667</v>
      </c>
      <c r="C21" s="14" t="n">
        <v>-0.02762927</v>
      </c>
      <c r="D21" s="14" t="n">
        <v>-0.02626535</v>
      </c>
      <c r="E21" s="14" t="n">
        <v>-0.0326628</v>
      </c>
      <c r="F21" s="6" t="n">
        <f aca="false">F20*(1+C21)</f>
        <v>553603.624953786</v>
      </c>
      <c r="G21" s="6" t="n">
        <f aca="false">G20*(1+D21)</f>
        <v>578686.600872241</v>
      </c>
      <c r="H21" s="6" t="n">
        <f aca="false">H20*(1+E21)</f>
        <v>574255.722241535</v>
      </c>
      <c r="I21" s="6" t="n">
        <f aca="false">MAX(I20,F21)</f>
        <v>569333.905139027</v>
      </c>
      <c r="J21" s="6" t="n">
        <f aca="false">MAX(J20,G21)</f>
        <v>594295.993135544</v>
      </c>
      <c r="K21" s="6" t="n">
        <f aca="false">MAX(K20,H21)</f>
        <v>593645.858178032</v>
      </c>
      <c r="L21" s="14" t="n">
        <f aca="false">F21/I21-1</f>
        <v>-0.02762927</v>
      </c>
      <c r="M21" s="14" t="n">
        <f aca="false">G21/J21-1</f>
        <v>-0.0262653499999999</v>
      </c>
      <c r="N21" s="14" t="n">
        <f aca="false">H21/K21-1</f>
        <v>-0.0326628000000001</v>
      </c>
      <c r="P21" s="0" t="n">
        <v>2022</v>
      </c>
      <c r="Q21" s="14" t="n">
        <f aca="false">EXP(SUMPRODUCT((YEAR($A$5:$A$124)=P21)*LN(1+$C$5:$C$124)))-1</f>
        <v>-0.129668070961711</v>
      </c>
      <c r="R21" s="14" t="n">
        <f aca="false">EXP(SUMPRODUCT((YEAR($A$5:$A$124)=P21)*LN(1+$D$5:$D$124)))-1</f>
        <v>-0.159527210828857</v>
      </c>
      <c r="S21" s="14" t="n">
        <f aca="false">EXP(SUMPRODUCT((YEAR($A$5:$A$124)=P21)*LN(1+$E$5:$E$124)))-1</f>
        <v>-0.156459015841684</v>
      </c>
    </row>
    <row r="22" customFormat="false" ht="15" hidden="false" customHeight="false" outlineLevel="0" collapsed="false">
      <c r="A22" s="17" t="n">
        <v>43190</v>
      </c>
      <c r="B22" s="19" t="n">
        <v>0.001375</v>
      </c>
      <c r="C22" s="14" t="n">
        <v>0.00110718</v>
      </c>
      <c r="D22" s="14" t="n">
        <v>-0.0140831</v>
      </c>
      <c r="E22" s="14" t="n">
        <v>-0.003354</v>
      </c>
      <c r="F22" s="6" t="n">
        <f aca="false">F21*(1+C22)</f>
        <v>554216.563815263</v>
      </c>
      <c r="G22" s="6" t="n">
        <f aca="false">G21*(1+D22)</f>
        <v>570536.899603497</v>
      </c>
      <c r="H22" s="6" t="n">
        <f aca="false">H21*(1+E22)</f>
        <v>572329.668549137</v>
      </c>
      <c r="I22" s="6" t="n">
        <f aca="false">MAX(I21,F22)</f>
        <v>569333.905139027</v>
      </c>
      <c r="J22" s="6" t="n">
        <f aca="false">MAX(J21,G22)</f>
        <v>594295.993135544</v>
      </c>
      <c r="K22" s="6" t="n">
        <f aca="false">MAX(K21,H22)</f>
        <v>593645.858178032</v>
      </c>
      <c r="L22" s="14" t="n">
        <f aca="false">F22/I22-1</f>
        <v>-0.0265526805751585</v>
      </c>
      <c r="M22" s="14" t="n">
        <f aca="false">G22/J22-1</f>
        <v>-0.0399785524494148</v>
      </c>
      <c r="N22" s="14" t="n">
        <f aca="false">H22/K22-1</f>
        <v>-0.0359072489688002</v>
      </c>
      <c r="P22" s="0" t="n">
        <v>2023</v>
      </c>
      <c r="Q22" s="14" t="n">
        <f aca="false">EXP(SUMPRODUCT((YEAR($A$5:$A$124)=P22)*LN(1+$C$5:$C$124)))-1</f>
        <v>0.125149917134405</v>
      </c>
      <c r="R22" s="14" t="n">
        <f aca="false">EXP(SUMPRODUCT((YEAR($A$5:$A$124)=P22)*LN(1+$D$5:$D$124)))-1</f>
        <v>0.176945158347612</v>
      </c>
      <c r="S22" s="14" t="n">
        <f aca="false">EXP(SUMPRODUCT((YEAR($A$5:$A$124)=P22)*LN(1+$E$5:$E$124)))-1</f>
        <v>0.157444512510526</v>
      </c>
    </row>
    <row r="23" customFormat="false" ht="15" hidden="false" customHeight="false" outlineLevel="0" collapsed="false">
      <c r="A23" s="17" t="n">
        <v>43220</v>
      </c>
      <c r="B23" s="19" t="n">
        <v>0.00144167</v>
      </c>
      <c r="C23" s="14" t="n">
        <v>-0.0002639</v>
      </c>
      <c r="D23" s="14" t="n">
        <v>-0.00066318</v>
      </c>
      <c r="E23" s="14" t="n">
        <v>-0.00130954</v>
      </c>
      <c r="F23" s="6" t="n">
        <f aca="false">F22*(1+C23)</f>
        <v>554070.306064072</v>
      </c>
      <c r="G23" s="6" t="n">
        <f aca="false">G22*(1+D23)</f>
        <v>570158.530942418</v>
      </c>
      <c r="H23" s="6" t="n">
        <f aca="false">H22*(1+E23)</f>
        <v>571580.179954985</v>
      </c>
      <c r="I23" s="6" t="n">
        <f aca="false">MAX(I22,F23)</f>
        <v>569333.905139027</v>
      </c>
      <c r="J23" s="6" t="n">
        <f aca="false">MAX(J22,G23)</f>
        <v>594295.993135544</v>
      </c>
      <c r="K23" s="6" t="n">
        <f aca="false">MAX(K22,H23)</f>
        <v>593645.858178032</v>
      </c>
      <c r="L23" s="14" t="n">
        <f aca="false">F23/I23-1</f>
        <v>-0.0268095733227547</v>
      </c>
      <c r="M23" s="14" t="n">
        <f aca="false">G23/J23-1</f>
        <v>-0.0406152194730015</v>
      </c>
      <c r="N23" s="14" t="n">
        <f aca="false">H23/K23-1</f>
        <v>-0.0371697669899856</v>
      </c>
      <c r="P23" s="0" t="n">
        <v>2024</v>
      </c>
      <c r="Q23" s="14" t="n">
        <f aca="false">EXP(SUMPRODUCT((YEAR($A$5:$A$124)=P23)*LN(1+$C$5:$C$124)))-1</f>
        <v>0.101629079348774</v>
      </c>
      <c r="R23" s="14" t="n">
        <f aca="false">EXP(SUMPRODUCT((YEAR($A$5:$A$124)=P23)*LN(1+$D$5:$D$124)))-1</f>
        <v>0.150773302524035</v>
      </c>
      <c r="S23" s="14" t="n">
        <f aca="false">EXP(SUMPRODUCT((YEAR($A$5:$A$124)=P23)*LN(1+$E$5:$E$124)))-1</f>
        <v>0.106821657717445</v>
      </c>
    </row>
    <row r="24" customFormat="false" ht="15" hidden="false" customHeight="false" outlineLevel="0" collapsed="false">
      <c r="A24" s="17" t="n">
        <v>43251</v>
      </c>
      <c r="B24" s="19" t="n">
        <v>0.00155833</v>
      </c>
      <c r="C24" s="14" t="n">
        <v>0.0067716</v>
      </c>
      <c r="D24" s="14" t="n">
        <v>0.0172948</v>
      </c>
      <c r="E24" s="14" t="n">
        <v>0.00496106</v>
      </c>
      <c r="F24" s="6" t="n">
        <f aca="false">F23*(1+C24)</f>
        <v>557822.248548615</v>
      </c>
      <c r="G24" s="6" t="n">
        <f aca="false">G23*(1+D24)</f>
        <v>580019.308703361</v>
      </c>
      <c r="H24" s="6" t="n">
        <f aca="false">H23*(1+E24)</f>
        <v>574415.823522552</v>
      </c>
      <c r="I24" s="6" t="n">
        <f aca="false">MAX(I23,F24)</f>
        <v>569333.905139027</v>
      </c>
      <c r="J24" s="6" t="n">
        <f aca="false">MAX(J23,G24)</f>
        <v>594295.993135544</v>
      </c>
      <c r="K24" s="6" t="n">
        <f aca="false">MAX(K23,H24)</f>
        <v>593645.858178032</v>
      </c>
      <c r="L24" s="14" t="n">
        <f aca="false">F24/I24-1</f>
        <v>-0.0202195170294671</v>
      </c>
      <c r="M24" s="14" t="n">
        <f aca="false">G24/J24-1</f>
        <v>-0.0240228515707432</v>
      </c>
      <c r="N24" s="14" t="n">
        <f aca="false">H24/K24-1</f>
        <v>-0.0323931084342088</v>
      </c>
      <c r="P24" s="0" t="n">
        <v>2025</v>
      </c>
      <c r="Q24" s="14" t="n">
        <f aca="false">EXP(SUMPRODUCT((YEAR($A$5:$A$124)=P24)*LN(1+$C$5:$C$124)))-1</f>
        <v>0.165590262079382</v>
      </c>
      <c r="R24" s="14" t="n">
        <f aca="false">EXP(SUMPRODUCT((YEAR($A$5:$A$124)=P24)*LN(1+$D$5:$D$124)))-1</f>
        <v>0.136092205090309</v>
      </c>
      <c r="S24" s="14" t="n">
        <f aca="false">EXP(SUMPRODUCT((YEAR($A$5:$A$124)=P24)*LN(1+$E$5:$E$124)))-1</f>
        <v>0.164453263281518</v>
      </c>
    </row>
    <row r="25" customFormat="false" ht="15" hidden="false" customHeight="false" outlineLevel="0" collapsed="false">
      <c r="A25" s="17" t="n">
        <v>43281</v>
      </c>
      <c r="B25" s="19" t="n">
        <v>0.00160833</v>
      </c>
      <c r="C25" s="14" t="n">
        <v>-0.00212038</v>
      </c>
      <c r="D25" s="14" t="n">
        <v>0.00388842</v>
      </c>
      <c r="E25" s="14" t="n">
        <v>-0.00471213</v>
      </c>
      <c r="F25" s="6" t="n">
        <f aca="false">F24*(1+C25)</f>
        <v>556639.453409238</v>
      </c>
      <c r="G25" s="6" t="n">
        <f aca="false">G24*(1+D25)</f>
        <v>582274.66738371</v>
      </c>
      <c r="H25" s="6" t="n">
        <f aca="false">H24*(1+E25)</f>
        <v>571709.101488057</v>
      </c>
      <c r="I25" s="6" t="n">
        <f aca="false">MAX(I24,F25)</f>
        <v>569333.905139027</v>
      </c>
      <c r="J25" s="6" t="n">
        <f aca="false">MAX(J24,G25)</f>
        <v>594295.993135544</v>
      </c>
      <c r="K25" s="6" t="n">
        <f aca="false">MAX(K24,H25)</f>
        <v>593645.858178032</v>
      </c>
      <c r="L25" s="14" t="n">
        <f aca="false">F25/I25-1</f>
        <v>-0.0222970239699483</v>
      </c>
      <c r="M25" s="14" t="n">
        <f aca="false">G25/J25-1</f>
        <v>-0.0202278425072479</v>
      </c>
      <c r="N25" s="14" t="n">
        <f aca="false">H25/K25-1</f>
        <v>-0.0369525978961627</v>
      </c>
    </row>
    <row r="26" customFormat="false" ht="15" hidden="false" customHeight="false" outlineLevel="0" collapsed="false">
      <c r="A26" s="17" t="n">
        <v>43312</v>
      </c>
      <c r="B26" s="19" t="n">
        <v>0.00160833</v>
      </c>
      <c r="C26" s="14" t="n">
        <v>0.01188085</v>
      </c>
      <c r="D26" s="14" t="n">
        <v>0.02211146</v>
      </c>
      <c r="E26" s="14" t="n">
        <v>0.0202824</v>
      </c>
      <c r="F26" s="6" t="n">
        <f aca="false">F25*(1+C26)</f>
        <v>563252.803259275</v>
      </c>
      <c r="G26" s="6" t="n">
        <f aca="false">G25*(1+D26)</f>
        <v>595149.610400578</v>
      </c>
      <c r="H26" s="6" t="n">
        <f aca="false">H25*(1+E26)</f>
        <v>583304.734168078</v>
      </c>
      <c r="I26" s="6" t="n">
        <f aca="false">MAX(I25,F26)</f>
        <v>569333.905139027</v>
      </c>
      <c r="J26" s="6" t="n">
        <f aca="false">MAX(J25,G26)</f>
        <v>595149.610400578</v>
      </c>
      <c r="K26" s="6" t="n">
        <f aca="false">MAX(K25,H26)</f>
        <v>593645.858178032</v>
      </c>
      <c r="L26" s="14" t="n">
        <f aca="false">F26/I26-1</f>
        <v>-0.0106810815671816</v>
      </c>
      <c r="M26" s="14" t="n">
        <f aca="false">G26/J26-1</f>
        <v>0</v>
      </c>
      <c r="N26" s="14" t="n">
        <f aca="false">H26/K26-1</f>
        <v>-0.0174196852677319</v>
      </c>
      <c r="P26" s="2" t="s">
        <v>148</v>
      </c>
      <c r="Q26" s="14" t="n">
        <f aca="false">MIN(Q16:Q24)</f>
        <v>-0.129668070961711</v>
      </c>
      <c r="R26" s="14" t="n">
        <f aca="false">MIN(R16:R24)</f>
        <v>-0.159527210828857</v>
      </c>
      <c r="S26" s="14" t="n">
        <f aca="false">MIN(S16:S24)</f>
        <v>-0.156459015841684</v>
      </c>
    </row>
    <row r="27" customFormat="false" ht="15" hidden="false" customHeight="false" outlineLevel="0" collapsed="false">
      <c r="A27" s="17" t="n">
        <v>43343</v>
      </c>
      <c r="B27" s="19" t="n">
        <v>0.00169167</v>
      </c>
      <c r="C27" s="14" t="n">
        <v>0.00537671</v>
      </c>
      <c r="D27" s="14" t="n">
        <v>0.02165382</v>
      </c>
      <c r="E27" s="14" t="n">
        <v>0.00623886</v>
      </c>
      <c r="F27" s="6" t="n">
        <f aca="false">F26*(1+C27)</f>
        <v>566281.250239087</v>
      </c>
      <c r="G27" s="6" t="n">
        <f aca="false">G26*(1+D27)</f>
        <v>608036.872937262</v>
      </c>
      <c r="H27" s="6" t="n">
        <f aca="false">H26*(1+E27)</f>
        <v>586943.89074189</v>
      </c>
      <c r="I27" s="6" t="n">
        <f aca="false">MAX(I26,F27)</f>
        <v>569333.905139027</v>
      </c>
      <c r="J27" s="6" t="n">
        <f aca="false">MAX(J26,G27)</f>
        <v>608036.872937262</v>
      </c>
      <c r="K27" s="6" t="n">
        <f aca="false">MAX(K26,H27)</f>
        <v>593645.858178032</v>
      </c>
      <c r="L27" s="14" t="n">
        <f aca="false">F27/I27-1</f>
        <v>-0.00536180064525482</v>
      </c>
      <c r="M27" s="14" t="n">
        <f aca="false">G27/J27-1</f>
        <v>0</v>
      </c>
      <c r="N27" s="14" t="n">
        <f aca="false">H27/K27-1</f>
        <v>-0.0112895042453612</v>
      </c>
    </row>
    <row r="28" customFormat="false" ht="15" hidden="false" customHeight="false" outlineLevel="0" collapsed="false">
      <c r="A28" s="17" t="n">
        <v>43373</v>
      </c>
      <c r="B28" s="19" t="n">
        <v>0.00175833</v>
      </c>
      <c r="C28" s="14" t="n">
        <v>-0.00283477</v>
      </c>
      <c r="D28" s="14" t="n">
        <v>0.00125119</v>
      </c>
      <c r="E28" s="14" t="n">
        <v>-0.00066422</v>
      </c>
      <c r="F28" s="6" t="n">
        <f aca="false">F27*(1+C28)</f>
        <v>564675.973139347</v>
      </c>
      <c r="G28" s="6" t="n">
        <f aca="false">G27*(1+D28)</f>
        <v>608797.642592312</v>
      </c>
      <c r="H28" s="6" t="n">
        <f aca="false">H27*(1+E28)</f>
        <v>586554.030870782</v>
      </c>
      <c r="I28" s="6" t="n">
        <f aca="false">MAX(I27,F28)</f>
        <v>569333.905139027</v>
      </c>
      <c r="J28" s="6" t="n">
        <f aca="false">MAX(J27,G28)</f>
        <v>608797.642592312</v>
      </c>
      <c r="K28" s="6" t="n">
        <f aca="false">MAX(K27,H28)</f>
        <v>593645.858178032</v>
      </c>
      <c r="L28" s="14" t="n">
        <f aca="false">F28/I28-1</f>
        <v>-0.0081813711736396</v>
      </c>
      <c r="M28" s="14" t="n">
        <f aca="false">G28/J28-1</f>
        <v>0</v>
      </c>
      <c r="N28" s="14" t="n">
        <f aca="false">H28/K28-1</f>
        <v>-0.0119462255308513</v>
      </c>
    </row>
    <row r="29" customFormat="false" ht="15" hidden="false" customHeight="false" outlineLevel="0" collapsed="false">
      <c r="A29" s="17" t="n">
        <v>43404</v>
      </c>
      <c r="B29" s="19" t="n">
        <v>0.001825</v>
      </c>
      <c r="C29" s="14" t="n">
        <v>-0.03439497</v>
      </c>
      <c r="D29" s="14" t="n">
        <v>-0.04403866</v>
      </c>
      <c r="E29" s="14" t="n">
        <v>-0.04904447</v>
      </c>
      <c r="F29" s="6" t="n">
        <f aca="false">F28*(1+C29)</f>
        <v>545253.959983498</v>
      </c>
      <c r="G29" s="6" t="n">
        <f aca="false">G28*(1+D29)</f>
        <v>581987.010201388</v>
      </c>
      <c r="H29" s="6" t="n">
        <f aca="false">H28*(1+E29)</f>
        <v>557786.799300361</v>
      </c>
      <c r="I29" s="6" t="n">
        <f aca="false">MAX(I28,F29)</f>
        <v>569333.905139027</v>
      </c>
      <c r="J29" s="6" t="n">
        <f aca="false">MAX(J28,G29)</f>
        <v>608797.642592312</v>
      </c>
      <c r="K29" s="6" t="n">
        <f aca="false">MAX(K28,H29)</f>
        <v>593645.858178032</v>
      </c>
      <c r="L29" s="14" t="n">
        <f aca="false">F29/I29-1</f>
        <v>-0.0422949431575634</v>
      </c>
      <c r="M29" s="14" t="n">
        <f aca="false">G29/J29-1</f>
        <v>-0.04403866</v>
      </c>
      <c r="N29" s="14" t="n">
        <f aca="false">H29/K29-1</f>
        <v>-0.0604047992311904</v>
      </c>
    </row>
    <row r="30" customFormat="false" ht="15" hidden="false" customHeight="false" outlineLevel="0" collapsed="false">
      <c r="A30" s="17" t="n">
        <v>43434</v>
      </c>
      <c r="B30" s="19" t="n">
        <v>0.00195</v>
      </c>
      <c r="C30" s="14" t="n">
        <v>0.00938376</v>
      </c>
      <c r="D30" s="14" t="n">
        <v>0.01404534</v>
      </c>
      <c r="E30" s="14" t="n">
        <v>0.01169831</v>
      </c>
      <c r="F30" s="6" t="n">
        <f aca="false">F29*(1+C30)</f>
        <v>550370.492283033</v>
      </c>
      <c r="G30" s="6" t="n">
        <f aca="false">G29*(1+D30)</f>
        <v>590161.21563525</v>
      </c>
      <c r="H30" s="6" t="n">
        <f aca="false">H29*(1+E30)</f>
        <v>564311.962192484</v>
      </c>
      <c r="I30" s="6" t="n">
        <f aca="false">MAX(I29,F30)</f>
        <v>569333.905139027</v>
      </c>
      <c r="J30" s="6" t="n">
        <f aca="false">MAX(J29,G30)</f>
        <v>608797.642592312</v>
      </c>
      <c r="K30" s="6" t="n">
        <f aca="false">MAX(K29,H30)</f>
        <v>593645.858178032</v>
      </c>
      <c r="L30" s="14" t="n">
        <f aca="false">F30/I30-1</f>
        <v>-0.0333080687533676</v>
      </c>
      <c r="M30" s="14" t="n">
        <f aca="false">G30/J30-1</f>
        <v>-0.0306118579528445</v>
      </c>
      <c r="N30" s="14" t="n">
        <f aca="false">H30/K30-1</f>
        <v>-0.0494131232980845</v>
      </c>
    </row>
    <row r="31" customFormat="false" ht="15" hidden="false" customHeight="false" outlineLevel="0" collapsed="false">
      <c r="A31" s="17" t="n">
        <v>43465</v>
      </c>
      <c r="B31" s="19" t="n">
        <v>0.001975</v>
      </c>
      <c r="C31" s="14" t="n">
        <v>-0.02256517</v>
      </c>
      <c r="D31" s="14" t="n">
        <v>-0.04352628</v>
      </c>
      <c r="E31" s="14" t="n">
        <v>-0.03738046</v>
      </c>
      <c r="F31" s="6" t="n">
        <f aca="false">F30*(1+C31)</f>
        <v>537951.288561683</v>
      </c>
      <c r="G31" s="6" t="n">
        <f aca="false">G30*(1+D31)</f>
        <v>564473.69331837</v>
      </c>
      <c r="H31" s="6" t="n">
        <f aca="false">H30*(1+E31)</f>
        <v>543217.721462227</v>
      </c>
      <c r="I31" s="6" t="n">
        <f aca="false">MAX(I30,F31)</f>
        <v>569333.905139027</v>
      </c>
      <c r="J31" s="6" t="n">
        <f aca="false">MAX(J30,G31)</f>
        <v>608797.642592312</v>
      </c>
      <c r="K31" s="6" t="n">
        <f aca="false">MAX(K30,H31)</f>
        <v>593645.858178032</v>
      </c>
      <c r="L31" s="14" t="n">
        <f aca="false">F31/I31-1</f>
        <v>-0.0551216365195761</v>
      </c>
      <c r="M31" s="14" t="n">
        <f aca="false">G31/J31-1</f>
        <v>-0.0728057176522688</v>
      </c>
      <c r="N31" s="14" t="n">
        <f aca="false">H31/K31-1</f>
        <v>-0.0849464980191652</v>
      </c>
    </row>
    <row r="32" customFormat="false" ht="15" hidden="false" customHeight="false" outlineLevel="0" collapsed="false">
      <c r="A32" s="17" t="n">
        <v>43496</v>
      </c>
      <c r="B32" s="19" t="n">
        <v>0.00204167</v>
      </c>
      <c r="C32" s="14" t="n">
        <v>0.04550827</v>
      </c>
      <c r="D32" s="14" t="n">
        <v>0.05168285</v>
      </c>
      <c r="E32" s="14" t="n">
        <v>0.04914031</v>
      </c>
      <c r="F32" s="6" t="n">
        <f aca="false">F31*(1+C32)</f>
        <v>562432.521048396</v>
      </c>
      <c r="G32" s="6" t="n">
        <f aca="false">G31*(1+D32)</f>
        <v>593647.302539089</v>
      </c>
      <c r="H32" s="6" t="n">
        <f aca="false">H31*(1+E32)</f>
        <v>569911.608692374</v>
      </c>
      <c r="I32" s="6" t="n">
        <f aca="false">MAX(I31,F32)</f>
        <v>569333.905139027</v>
      </c>
      <c r="J32" s="6" t="n">
        <f aca="false">MAX(J31,G32)</f>
        <v>608797.642592312</v>
      </c>
      <c r="K32" s="6" t="n">
        <f aca="false">MAX(K31,H32)</f>
        <v>593645.858178032</v>
      </c>
      <c r="L32" s="14" t="n">
        <f aca="false">F32/I32-1</f>
        <v>-0.0121218568371508</v>
      </c>
      <c r="M32" s="14" t="n">
        <f aca="false">G32/J32-1</f>
        <v>-0.0248856746368333</v>
      </c>
      <c r="N32" s="14" t="n">
        <f aca="false">H32/K32-1</f>
        <v>-0.0399804852652413</v>
      </c>
    </row>
    <row r="33" customFormat="false" ht="15" hidden="false" customHeight="false" outlineLevel="0" collapsed="false">
      <c r="A33" s="17" t="n">
        <v>43524</v>
      </c>
      <c r="B33" s="19" t="n">
        <v>0.00200833</v>
      </c>
      <c r="C33" s="14" t="n">
        <v>0.01043267</v>
      </c>
      <c r="D33" s="14" t="n">
        <v>0.01953813</v>
      </c>
      <c r="E33" s="14" t="n">
        <v>0.01615145</v>
      </c>
      <c r="F33" s="6" t="n">
        <f aca="false">F32*(1+C33)</f>
        <v>568300.193937762</v>
      </c>
      <c r="G33" s="6" t="n">
        <f aca="false">G32*(1+D33)</f>
        <v>605246.060710247</v>
      </c>
      <c r="H33" s="6" t="n">
        <f aca="false">H32*(1+E33)</f>
        <v>579116.507544588</v>
      </c>
      <c r="I33" s="6" t="n">
        <f aca="false">MAX(I32,F33)</f>
        <v>569333.905139027</v>
      </c>
      <c r="J33" s="6" t="n">
        <f aca="false">MAX(J32,G33)</f>
        <v>608797.642592312</v>
      </c>
      <c r="K33" s="6" t="n">
        <f aca="false">MAX(K32,H33)</f>
        <v>593645.858178032</v>
      </c>
      <c r="L33" s="14" t="n">
        <f aca="false">F33/I33-1</f>
        <v>-0.00181565016932006</v>
      </c>
      <c r="M33" s="14" t="n">
        <f aca="false">G33/J33-1</f>
        <v>-0.0058337641830255</v>
      </c>
      <c r="N33" s="14" t="n">
        <f aca="false">H33/K33-1</f>
        <v>-0.0244747780739786</v>
      </c>
    </row>
    <row r="34" customFormat="false" ht="15" hidden="false" customHeight="false" outlineLevel="0" collapsed="false">
      <c r="A34" s="17" t="n">
        <v>43555</v>
      </c>
      <c r="B34" s="19" t="n">
        <v>0.00204167</v>
      </c>
      <c r="C34" s="14" t="n">
        <v>0.01410384</v>
      </c>
      <c r="D34" s="14" t="n">
        <v>0.01925176</v>
      </c>
      <c r="E34" s="14" t="n">
        <v>0.0149864</v>
      </c>
      <c r="F34" s="6" t="n">
        <f aca="false">F33*(1+C34)</f>
        <v>576315.408945029</v>
      </c>
      <c r="G34" s="6" t="n">
        <f aca="false">G33*(1+D34)</f>
        <v>616898.112611986</v>
      </c>
      <c r="H34" s="6" t="n">
        <f aca="false">H33*(1+E34)</f>
        <v>587795.379173255</v>
      </c>
      <c r="I34" s="6" t="n">
        <f aca="false">MAX(I33,F34)</f>
        <v>576315.408945029</v>
      </c>
      <c r="J34" s="6" t="n">
        <f aca="false">MAX(J33,G34)</f>
        <v>616898.112611986</v>
      </c>
      <c r="K34" s="6" t="n">
        <f aca="false">MAX(K33,H34)</f>
        <v>593645.858178032</v>
      </c>
      <c r="L34" s="14" t="n">
        <f aca="false">F34/I34-1</f>
        <v>0</v>
      </c>
      <c r="M34" s="14" t="n">
        <f aca="false">G34/J34-1</f>
        <v>0</v>
      </c>
      <c r="N34" s="14" t="n">
        <f aca="false">H34/K34-1</f>
        <v>-0.0098551668881065</v>
      </c>
    </row>
    <row r="35" customFormat="false" ht="15" hidden="false" customHeight="false" outlineLevel="0" collapsed="false">
      <c r="A35" s="17" t="n">
        <v>43585</v>
      </c>
      <c r="B35" s="19" t="n">
        <v>0.002</v>
      </c>
      <c r="C35" s="14" t="n">
        <v>0.01578628</v>
      </c>
      <c r="D35" s="14" t="n">
        <v>0.02371001</v>
      </c>
      <c r="E35" s="14" t="n">
        <v>0.02246308</v>
      </c>
      <c r="F35" s="6" t="n">
        <f aca="false">F34*(1+C35)</f>
        <v>585413.285358949</v>
      </c>
      <c r="G35" s="6" t="n">
        <f aca="false">G34*(1+D35)</f>
        <v>631524.773030997</v>
      </c>
      <c r="H35" s="6" t="n">
        <f aca="false">H34*(1+E35)</f>
        <v>600999.073799254</v>
      </c>
      <c r="I35" s="6" t="n">
        <f aca="false">MAX(I34,F35)</f>
        <v>585413.285358949</v>
      </c>
      <c r="J35" s="6" t="n">
        <f aca="false">MAX(J34,G35)</f>
        <v>631524.773030997</v>
      </c>
      <c r="K35" s="6" t="n">
        <f aca="false">MAX(K34,H35)</f>
        <v>600999.073799254</v>
      </c>
      <c r="L35" s="14" t="n">
        <f aca="false">F35/I35-1</f>
        <v>0</v>
      </c>
      <c r="M35" s="14" t="n">
        <f aca="false">G35/J35-1</f>
        <v>0</v>
      </c>
      <c r="N35" s="14" t="n">
        <f aca="false">H35/K35-1</f>
        <v>0</v>
      </c>
    </row>
    <row r="36" customFormat="false" ht="15" hidden="false" customHeight="false" outlineLevel="0" collapsed="false">
      <c r="A36" s="17" t="n">
        <v>43616</v>
      </c>
      <c r="B36" s="19" t="n">
        <v>0.002025</v>
      </c>
      <c r="C36" s="14" t="n">
        <v>-0.02053728</v>
      </c>
      <c r="D36" s="14" t="n">
        <v>-0.0314522</v>
      </c>
      <c r="E36" s="14" t="n">
        <v>-0.03054951</v>
      </c>
      <c r="F36" s="6" t="n">
        <f aca="false">F35*(1+C36)</f>
        <v>573390.488801813</v>
      </c>
      <c r="G36" s="6" t="n">
        <f aca="false">G35*(1+D36)</f>
        <v>611661.929564672</v>
      </c>
      <c r="H36" s="6" t="n">
        <f aca="false">H35*(1+E36)</f>
        <v>582638.846584233</v>
      </c>
      <c r="I36" s="6" t="n">
        <f aca="false">MAX(I35,F36)</f>
        <v>585413.285358949</v>
      </c>
      <c r="J36" s="6" t="n">
        <f aca="false">MAX(J35,G36)</f>
        <v>631524.773030997</v>
      </c>
      <c r="K36" s="6" t="n">
        <f aca="false">MAX(K35,H36)</f>
        <v>600999.073799254</v>
      </c>
      <c r="L36" s="14" t="n">
        <f aca="false">F36/I36-1</f>
        <v>-0.0205372800000001</v>
      </c>
      <c r="M36" s="14" t="n">
        <f aca="false">G36/J36-1</f>
        <v>-0.0314522</v>
      </c>
      <c r="N36" s="14" t="n">
        <f aca="false">H36/K36-1</f>
        <v>-0.0305495099999999</v>
      </c>
    </row>
    <row r="37" customFormat="false" ht="15" hidden="false" customHeight="false" outlineLevel="0" collapsed="false">
      <c r="A37" s="17" t="n">
        <v>43646</v>
      </c>
      <c r="B37" s="19" t="n">
        <v>0.00195833</v>
      </c>
      <c r="C37" s="14" t="n">
        <v>0.03648917</v>
      </c>
      <c r="D37" s="14" t="n">
        <v>0.04553864</v>
      </c>
      <c r="E37" s="14" t="n">
        <v>0.0433007</v>
      </c>
      <c r="F37" s="6" t="n">
        <f aca="false">F36*(1+C37)</f>
        <v>594313.031824085</v>
      </c>
      <c r="G37" s="6" t="n">
        <f aca="false">G36*(1+D37)</f>
        <v>639516.181976823</v>
      </c>
      <c r="H37" s="6" t="n">
        <f aca="false">H36*(1+E37)</f>
        <v>607867.516488523</v>
      </c>
      <c r="I37" s="6" t="n">
        <f aca="false">MAX(I36,F37)</f>
        <v>594313.031824085</v>
      </c>
      <c r="J37" s="6" t="n">
        <f aca="false">MAX(J36,G37)</f>
        <v>639516.181976823</v>
      </c>
      <c r="K37" s="6" t="n">
        <f aca="false">MAX(K36,H37)</f>
        <v>607867.516488523</v>
      </c>
      <c r="L37" s="14" t="n">
        <f aca="false">F37/I37-1</f>
        <v>0</v>
      </c>
      <c r="M37" s="14" t="n">
        <f aca="false">G37/J37-1</f>
        <v>0</v>
      </c>
      <c r="N37" s="14" t="n">
        <f aca="false">H37/K37-1</f>
        <v>0</v>
      </c>
    </row>
    <row r="38" customFormat="false" ht="15" hidden="false" customHeight="false" outlineLevel="0" collapsed="false">
      <c r="A38" s="17" t="n">
        <v>43677</v>
      </c>
      <c r="B38" s="19" t="n">
        <v>0.00176667</v>
      </c>
      <c r="C38" s="14" t="n">
        <v>0.00296321</v>
      </c>
      <c r="D38" s="14" t="n">
        <v>0.00979916</v>
      </c>
      <c r="E38" s="14" t="n">
        <v>-0.00128578</v>
      </c>
      <c r="F38" s="6" t="n">
        <f aca="false">F37*(1+C38)</f>
        <v>596074.106143117</v>
      </c>
      <c r="G38" s="6" t="n">
        <f aca="false">G37*(1+D38)</f>
        <v>645782.903366603</v>
      </c>
      <c r="H38" s="6" t="n">
        <f aca="false">H37*(1+E38)</f>
        <v>607085.932593172</v>
      </c>
      <c r="I38" s="6" t="n">
        <f aca="false">MAX(I37,F38)</f>
        <v>596074.106143117</v>
      </c>
      <c r="J38" s="6" t="n">
        <f aca="false">MAX(J37,G38)</f>
        <v>645782.903366603</v>
      </c>
      <c r="K38" s="6" t="n">
        <f aca="false">MAX(K37,H38)</f>
        <v>607867.516488523</v>
      </c>
      <c r="L38" s="14" t="n">
        <f aca="false">F38/I38-1</f>
        <v>0</v>
      </c>
      <c r="M38" s="14" t="n">
        <f aca="false">G38/J38-1</f>
        <v>0</v>
      </c>
      <c r="N38" s="14" t="n">
        <f aca="false">H38/K38-1</f>
        <v>-0.0012857799999999</v>
      </c>
    </row>
    <row r="39" customFormat="false" ht="15" hidden="false" customHeight="false" outlineLevel="0" collapsed="false">
      <c r="A39" s="17" t="n">
        <v>43708</v>
      </c>
      <c r="B39" s="19" t="n">
        <v>0.00173333</v>
      </c>
      <c r="C39" s="14" t="n">
        <v>0.0058515</v>
      </c>
      <c r="D39" s="14" t="n">
        <v>0.0009443</v>
      </c>
      <c r="E39" s="14" t="n">
        <v>-0.00043943</v>
      </c>
      <c r="F39" s="6" t="n">
        <f aca="false">F38*(1+C39)</f>
        <v>599562.033775213</v>
      </c>
      <c r="G39" s="6" t="n">
        <f aca="false">G38*(1+D39)</f>
        <v>646392.716162252</v>
      </c>
      <c r="H39" s="6" t="n">
        <f aca="false">H38*(1+E39)</f>
        <v>606819.160821813</v>
      </c>
      <c r="I39" s="6" t="n">
        <f aca="false">MAX(I38,F39)</f>
        <v>599562.033775213</v>
      </c>
      <c r="J39" s="6" t="n">
        <f aca="false">MAX(J38,G39)</f>
        <v>646392.716162252</v>
      </c>
      <c r="K39" s="6" t="n">
        <f aca="false">MAX(K38,H39)</f>
        <v>607867.516488523</v>
      </c>
      <c r="L39" s="14" t="n">
        <f aca="false">F39/I39-1</f>
        <v>0</v>
      </c>
      <c r="M39" s="14" t="n">
        <f aca="false">G39/J39-1</f>
        <v>0</v>
      </c>
      <c r="N39" s="14" t="n">
        <f aca="false">H39/K39-1</f>
        <v>-0.00172464498969449</v>
      </c>
    </row>
    <row r="40" customFormat="false" ht="15" hidden="false" customHeight="false" outlineLevel="0" collapsed="false">
      <c r="A40" s="17" t="n">
        <v>43738</v>
      </c>
      <c r="B40" s="19" t="n">
        <v>0.00165833</v>
      </c>
      <c r="C40" s="14" t="n">
        <v>0.0024916</v>
      </c>
      <c r="D40" s="14" t="n">
        <v>0.00903295</v>
      </c>
      <c r="E40" s="14" t="n">
        <v>0.01186298</v>
      </c>
      <c r="F40" s="6" t="n">
        <f aca="false">F39*(1+C40)</f>
        <v>601055.902538567</v>
      </c>
      <c r="G40" s="6" t="n">
        <f aca="false">G39*(1+D40)</f>
        <v>652231.54924771</v>
      </c>
      <c r="H40" s="6" t="n">
        <f aca="false">H39*(1+E40)</f>
        <v>614017.844390259</v>
      </c>
      <c r="I40" s="6" t="n">
        <f aca="false">MAX(I39,F40)</f>
        <v>601055.902538567</v>
      </c>
      <c r="J40" s="6" t="n">
        <f aca="false">MAX(J39,G40)</f>
        <v>652231.54924771</v>
      </c>
      <c r="K40" s="6" t="n">
        <f aca="false">MAX(K39,H40)</f>
        <v>614017.844390259</v>
      </c>
      <c r="L40" s="14" t="n">
        <f aca="false">F40/I40-1</f>
        <v>0</v>
      </c>
      <c r="M40" s="14" t="n">
        <f aca="false">G40/J40-1</f>
        <v>0</v>
      </c>
      <c r="N40" s="14" t="n">
        <f aca="false">H40/K40-1</f>
        <v>0</v>
      </c>
    </row>
    <row r="41" customFormat="false" ht="15" hidden="false" customHeight="false" outlineLevel="0" collapsed="false">
      <c r="A41" s="17" t="n">
        <v>43769</v>
      </c>
      <c r="B41" s="19" t="n">
        <v>0.00156667</v>
      </c>
      <c r="C41" s="14" t="n">
        <v>0.01203217</v>
      </c>
      <c r="D41" s="14" t="n">
        <v>0.01409505</v>
      </c>
      <c r="E41" s="14" t="n">
        <v>0.01546518</v>
      </c>
      <c r="F41" s="6" t="n">
        <f aca="false">F40*(1+C41)</f>
        <v>608287.909337415</v>
      </c>
      <c r="G41" s="6" t="n">
        <f aca="false">G40*(1+D41)</f>
        <v>661424.785545934</v>
      </c>
      <c r="H41" s="6" t="n">
        <f aca="false">H40*(1+E41)</f>
        <v>623513.740876966</v>
      </c>
      <c r="I41" s="6" t="n">
        <f aca="false">MAX(I40,F41)</f>
        <v>608287.909337415</v>
      </c>
      <c r="J41" s="6" t="n">
        <f aca="false">MAX(J40,G41)</f>
        <v>661424.785545934</v>
      </c>
      <c r="K41" s="6" t="n">
        <f aca="false">MAX(K40,H41)</f>
        <v>623513.740876966</v>
      </c>
      <c r="L41" s="14" t="n">
        <f aca="false">F41/I41-1</f>
        <v>0</v>
      </c>
      <c r="M41" s="14" t="n">
        <f aca="false">G41/J41-1</f>
        <v>0</v>
      </c>
      <c r="N41" s="14" t="n">
        <f aca="false">H41/K41-1</f>
        <v>0</v>
      </c>
    </row>
    <row r="42" customFormat="false" ht="15" hidden="false" customHeight="false" outlineLevel="0" collapsed="false">
      <c r="A42" s="17" t="n">
        <v>43799</v>
      </c>
      <c r="B42" s="19" t="n">
        <v>0.00128333</v>
      </c>
      <c r="C42" s="14" t="n">
        <v>0.00780579</v>
      </c>
      <c r="D42" s="14" t="n">
        <v>0.02175401</v>
      </c>
      <c r="E42" s="14" t="n">
        <v>0.0141726</v>
      </c>
      <c r="F42" s="6" t="n">
        <f aca="false">F41*(1+C42)</f>
        <v>613036.077017242</v>
      </c>
      <c r="G42" s="6" t="n">
        <f aca="false">G41*(1+D42)</f>
        <v>675813.426944948</v>
      </c>
      <c r="H42" s="6" t="n">
        <f aca="false">H41*(1+E42)</f>
        <v>632350.551720919</v>
      </c>
      <c r="I42" s="6" t="n">
        <f aca="false">MAX(I41,F42)</f>
        <v>613036.077017242</v>
      </c>
      <c r="J42" s="6" t="n">
        <f aca="false">MAX(J41,G42)</f>
        <v>675813.426944948</v>
      </c>
      <c r="K42" s="6" t="n">
        <f aca="false">MAX(K41,H42)</f>
        <v>632350.551720919</v>
      </c>
      <c r="L42" s="14" t="n">
        <f aca="false">F42/I42-1</f>
        <v>0</v>
      </c>
      <c r="M42" s="14" t="n">
        <f aca="false">G42/J42-1</f>
        <v>0</v>
      </c>
      <c r="N42" s="14" t="n">
        <f aca="false">H42/K42-1</f>
        <v>0</v>
      </c>
    </row>
    <row r="43" customFormat="false" ht="15" hidden="false" customHeight="false" outlineLevel="0" collapsed="false">
      <c r="A43" s="17" t="n">
        <v>43830</v>
      </c>
      <c r="B43" s="19" t="n">
        <v>0.001325</v>
      </c>
      <c r="C43" s="14" t="n">
        <v>0.01938634</v>
      </c>
      <c r="D43" s="14" t="n">
        <v>0.01761833</v>
      </c>
      <c r="E43" s="14" t="n">
        <v>0.02147026</v>
      </c>
      <c r="F43" s="6" t="n">
        <f aca="false">F42*(1+C43)</f>
        <v>624920.602838564</v>
      </c>
      <c r="G43" s="6" t="n">
        <f aca="false">G42*(1+D43)</f>
        <v>687720.130919295</v>
      </c>
      <c r="H43" s="6" t="n">
        <f aca="false">H42*(1+E43)</f>
        <v>645927.282477511</v>
      </c>
      <c r="I43" s="6" t="n">
        <f aca="false">MAX(I42,F43)</f>
        <v>624920.602838564</v>
      </c>
      <c r="J43" s="6" t="n">
        <f aca="false">MAX(J42,G43)</f>
        <v>687720.130919295</v>
      </c>
      <c r="K43" s="6" t="n">
        <f aca="false">MAX(K42,H43)</f>
        <v>645927.282477511</v>
      </c>
      <c r="L43" s="14" t="n">
        <f aca="false">F43/I43-1</f>
        <v>0</v>
      </c>
      <c r="M43" s="14" t="n">
        <f aca="false">G43/J43-1</f>
        <v>0</v>
      </c>
      <c r="N43" s="14" t="n">
        <f aca="false">H43/K43-1</f>
        <v>0</v>
      </c>
    </row>
    <row r="44" customFormat="false" ht="15" hidden="false" customHeight="false" outlineLevel="0" collapsed="false">
      <c r="A44" s="17" t="n">
        <v>43861</v>
      </c>
      <c r="B44" s="19" t="n">
        <v>0.00129167</v>
      </c>
      <c r="C44" s="14" t="n">
        <v>0.0045084</v>
      </c>
      <c r="D44" s="14" t="n">
        <v>0.00787351</v>
      </c>
      <c r="E44" s="14" t="n">
        <v>-0.00418052</v>
      </c>
      <c r="F44" s="6" t="n">
        <f aca="false">F43*(1+C44)</f>
        <v>627737.994884401</v>
      </c>
      <c r="G44" s="6" t="n">
        <f aca="false">G43*(1+D44)</f>
        <v>693134.902247289</v>
      </c>
      <c r="H44" s="6" t="n">
        <f aca="false">H43*(1+E44)</f>
        <v>643226.970554568</v>
      </c>
      <c r="I44" s="6" t="n">
        <f aca="false">MAX(I43,F44)</f>
        <v>627737.994884401</v>
      </c>
      <c r="J44" s="6" t="n">
        <f aca="false">MAX(J43,G44)</f>
        <v>693134.902247289</v>
      </c>
      <c r="K44" s="6" t="n">
        <f aca="false">MAX(K43,H44)</f>
        <v>645927.282477511</v>
      </c>
      <c r="L44" s="14" t="n">
        <f aca="false">F44/I44-1</f>
        <v>0</v>
      </c>
      <c r="M44" s="14" t="n">
        <f aca="false">G44/J44-1</f>
        <v>0</v>
      </c>
      <c r="N44" s="14" t="n">
        <f aca="false">H44/K44-1</f>
        <v>-0.00418052000000002</v>
      </c>
    </row>
    <row r="45" customFormat="false" ht="15" hidden="false" customHeight="false" outlineLevel="0" collapsed="false">
      <c r="A45" s="17" t="n">
        <v>43890</v>
      </c>
      <c r="B45" s="19" t="n">
        <v>0.00129167</v>
      </c>
      <c r="C45" s="14" t="n">
        <v>-0.03029055</v>
      </c>
      <c r="D45" s="14" t="n">
        <v>-0.04069243</v>
      </c>
      <c r="E45" s="14" t="n">
        <v>-0.04072257</v>
      </c>
      <c r="F45" s="6" t="n">
        <f aca="false">F44*(1+C45)</f>
        <v>608723.465763456</v>
      </c>
      <c r="G45" s="6" t="n">
        <f aca="false">G44*(1+D45)</f>
        <v>664929.558757034</v>
      </c>
      <c r="H45" s="6" t="n">
        <f aca="false">H44*(1+E45)</f>
        <v>617033.115220271</v>
      </c>
      <c r="I45" s="6" t="n">
        <f aca="false">MAX(I44,F45)</f>
        <v>627737.994884401</v>
      </c>
      <c r="J45" s="6" t="n">
        <f aca="false">MAX(J44,G45)</f>
        <v>693134.902247289</v>
      </c>
      <c r="K45" s="6" t="n">
        <f aca="false">MAX(K44,H45)</f>
        <v>645927.282477511</v>
      </c>
      <c r="L45" s="14" t="n">
        <f aca="false">F45/I45-1</f>
        <v>-0.03029055</v>
      </c>
      <c r="M45" s="14" t="n">
        <f aca="false">G45/J45-1</f>
        <v>-0.0406924299999999</v>
      </c>
      <c r="N45" s="14" t="n">
        <f aca="false">H45/K45-1</f>
        <v>-0.0447328484816636</v>
      </c>
    </row>
    <row r="46" customFormat="false" ht="15" hidden="false" customHeight="false" outlineLevel="0" collapsed="false">
      <c r="A46" s="17" t="n">
        <v>43921</v>
      </c>
      <c r="B46" s="19" t="n">
        <v>0.00105833</v>
      </c>
      <c r="C46" s="14" t="n">
        <v>-0.07295185</v>
      </c>
      <c r="D46" s="14" t="n">
        <v>-0.07364217</v>
      </c>
      <c r="E46" s="14" t="n">
        <v>-0.09452928</v>
      </c>
      <c r="F46" s="6" t="n">
        <f aca="false">F45*(1+C46)</f>
        <v>564315.9627976</v>
      </c>
      <c r="G46" s="6" t="n">
        <f aca="false">G45*(1+D46)</f>
        <v>615962.703153024</v>
      </c>
      <c r="H46" s="6" t="n">
        <f aca="false">H45*(1+E46)</f>
        <v>558705.419102342</v>
      </c>
      <c r="I46" s="6" t="n">
        <f aca="false">MAX(I45,F46)</f>
        <v>627737.994884401</v>
      </c>
      <c r="J46" s="6" t="n">
        <f aca="false">MAX(J45,G46)</f>
        <v>693134.902247289</v>
      </c>
      <c r="K46" s="6" t="n">
        <f aca="false">MAX(K45,H46)</f>
        <v>645927.282477511</v>
      </c>
      <c r="L46" s="14" t="n">
        <f aca="false">F46/I46-1</f>
        <v>-0.101032648339982</v>
      </c>
      <c r="M46" s="14" t="n">
        <f aca="false">G46/J46-1</f>
        <v>-0.111337921152227</v>
      </c>
      <c r="N46" s="14" t="n">
        <f aca="false">H46/K46-1</f>
        <v>-0.135033564522343</v>
      </c>
    </row>
    <row r="47" customFormat="false" ht="15" hidden="false" customHeight="false" outlineLevel="0" collapsed="false">
      <c r="A47" s="17" t="n">
        <v>43951</v>
      </c>
      <c r="B47" s="19" t="n">
        <v>9.167E-005</v>
      </c>
      <c r="C47" s="14" t="n">
        <v>0.06582016</v>
      </c>
      <c r="D47" s="14" t="n">
        <v>0.08306647</v>
      </c>
      <c r="E47" s="14" t="n">
        <v>0.0655568</v>
      </c>
      <c r="F47" s="6" t="n">
        <f aca="false">F46*(1+C47)</f>
        <v>601459.329759492</v>
      </c>
      <c r="G47" s="6" t="n">
        <f aca="false">G46*(1+D47)</f>
        <v>667128.550555603</v>
      </c>
      <c r="H47" s="6" t="n">
        <f aca="false">H46*(1+E47)</f>
        <v>595332.358521351</v>
      </c>
      <c r="I47" s="6" t="n">
        <f aca="false">MAX(I46,F47)</f>
        <v>627737.994884401</v>
      </c>
      <c r="J47" s="6" t="n">
        <f aca="false">MAX(J46,G47)</f>
        <v>693134.902247289</v>
      </c>
      <c r="K47" s="6" t="n">
        <f aca="false">MAX(K46,H47)</f>
        <v>645927.282477511</v>
      </c>
      <c r="L47" s="14" t="n">
        <f aca="false">F47/I47-1</f>
        <v>-0.041862473418944</v>
      </c>
      <c r="M47" s="14" t="n">
        <f aca="false">G47/J47-1</f>
        <v>-0.0375198992394807</v>
      </c>
      <c r="N47" s="14" t="n">
        <f aca="false">H47/K47-1</f>
        <v>-0.0783291329050212</v>
      </c>
    </row>
    <row r="48" customFormat="false" ht="15" hidden="false" customHeight="false" outlineLevel="0" collapsed="false">
      <c r="A48" s="17" t="n">
        <v>43982</v>
      </c>
      <c r="B48" s="19" t="n">
        <v>7.5E-005</v>
      </c>
      <c r="C48" s="14" t="n">
        <v>0.02719666</v>
      </c>
      <c r="D48" s="14" t="n">
        <v>0.03227281</v>
      </c>
      <c r="E48" s="14" t="n">
        <v>0.03463209</v>
      </c>
      <c r="F48" s="6" t="n">
        <f aca="false">F47*(1+C48)</f>
        <v>617817.014654789</v>
      </c>
      <c r="G48" s="6" t="n">
        <f aca="false">G47*(1+D48)</f>
        <v>688658.66351326</v>
      </c>
      <c r="H48" s="6" t="n">
        <f aca="false">H47*(1+E48)</f>
        <v>615949.962341574</v>
      </c>
      <c r="I48" s="6" t="n">
        <f aca="false">MAX(I47,F48)</f>
        <v>627737.994884401</v>
      </c>
      <c r="J48" s="6" t="n">
        <f aca="false">MAX(J47,G48)</f>
        <v>693134.902247289</v>
      </c>
      <c r="K48" s="6" t="n">
        <f aca="false">MAX(K47,H48)</f>
        <v>645927.282477511</v>
      </c>
      <c r="L48" s="14" t="n">
        <f aca="false">F48/I48-1</f>
        <v>-0.0158043328752781</v>
      </c>
      <c r="M48" s="14" t="n">
        <f aca="false">G48/J48-1</f>
        <v>-0.00645796181885561</v>
      </c>
      <c r="N48" s="14" t="n">
        <f aca="false">H48/K48-1</f>
        <v>-0.0464097444854099</v>
      </c>
    </row>
    <row r="49" customFormat="false" ht="15" hidden="false" customHeight="false" outlineLevel="0" collapsed="false">
      <c r="A49" s="17" t="n">
        <v>44012</v>
      </c>
      <c r="B49" s="19" t="n">
        <v>0.00011667</v>
      </c>
      <c r="C49" s="14" t="n">
        <v>0.01923739</v>
      </c>
      <c r="D49" s="14" t="n">
        <v>0.01361526</v>
      </c>
      <c r="E49" s="14" t="n">
        <v>0.02158121</v>
      </c>
      <c r="F49" s="6" t="n">
        <f aca="false">F48*(1+C49)</f>
        <v>629702.201514339</v>
      </c>
      <c r="G49" s="6" t="n">
        <f aca="false">G48*(1+D49)</f>
        <v>698034.930268245</v>
      </c>
      <c r="H49" s="6" t="n">
        <f aca="false">H48*(1+E49)</f>
        <v>629242.90782836</v>
      </c>
      <c r="I49" s="6" t="n">
        <f aca="false">MAX(I48,F49)</f>
        <v>629702.201514339</v>
      </c>
      <c r="J49" s="6" t="n">
        <f aca="false">MAX(J48,G49)</f>
        <v>698034.930268245</v>
      </c>
      <c r="K49" s="6" t="n">
        <f aca="false">MAX(K48,H49)</f>
        <v>645927.282477511</v>
      </c>
      <c r="L49" s="14" t="n">
        <f aca="false">F49/I49-1</f>
        <v>0</v>
      </c>
      <c r="M49" s="14" t="n">
        <f aca="false">G49/J49-1</f>
        <v>0</v>
      </c>
      <c r="N49" s="14" t="n">
        <f aca="false">H49/K49-1</f>
        <v>-0.0258301129271961</v>
      </c>
    </row>
    <row r="50" customFormat="false" ht="15" hidden="false" customHeight="false" outlineLevel="0" collapsed="false">
      <c r="A50" s="17" t="n">
        <v>44043</v>
      </c>
      <c r="B50" s="19" t="n">
        <v>0.00013333</v>
      </c>
      <c r="C50" s="14" t="n">
        <v>0.03914482</v>
      </c>
      <c r="D50" s="14" t="n">
        <v>0.04066781</v>
      </c>
      <c r="E50" s="14" t="n">
        <v>0.03522832</v>
      </c>
      <c r="F50" s="6" t="n">
        <f aca="false">F49*(1+C50)</f>
        <v>654351.780846221</v>
      </c>
      <c r="G50" s="6" t="n">
        <f aca="false">G49*(1+D50)</f>
        <v>726422.482185757</v>
      </c>
      <c r="H50" s="6" t="n">
        <f aca="false">H49*(1+E50)</f>
        <v>651410.078343068</v>
      </c>
      <c r="I50" s="6" t="n">
        <f aca="false">MAX(I49,F50)</f>
        <v>654351.780846221</v>
      </c>
      <c r="J50" s="6" t="n">
        <f aca="false">MAX(J49,G50)</f>
        <v>726422.482185757</v>
      </c>
      <c r="K50" s="6" t="n">
        <f aca="false">MAX(K49,H50)</f>
        <v>651410.078343068</v>
      </c>
      <c r="L50" s="14" t="n">
        <f aca="false">F50/I50-1</f>
        <v>0</v>
      </c>
      <c r="M50" s="14" t="n">
        <f aca="false">G50/J50-1</f>
        <v>0</v>
      </c>
      <c r="N50" s="14" t="n">
        <f aca="false">H50/K50-1</f>
        <v>0</v>
      </c>
    </row>
    <row r="51" customFormat="false" ht="15" hidden="false" customHeight="false" outlineLevel="0" collapsed="false">
      <c r="A51" s="17" t="n">
        <v>44074</v>
      </c>
      <c r="B51" s="19" t="n">
        <v>7.5E-005</v>
      </c>
      <c r="C51" s="14" t="n">
        <v>0.02825321</v>
      </c>
      <c r="D51" s="14" t="n">
        <v>0.03940376</v>
      </c>
      <c r="E51" s="14" t="n">
        <v>0.03458375</v>
      </c>
      <c r="F51" s="6" t="n">
        <f aca="false">F50*(1+C51)</f>
        <v>672839.319124344</v>
      </c>
      <c r="G51" s="6" t="n">
        <f aca="false">G50*(1+D51)</f>
        <v>755046.259332409</v>
      </c>
      <c r="H51" s="6" t="n">
        <f aca="false">H50*(1+E51)</f>
        <v>673938.281639965</v>
      </c>
      <c r="I51" s="6" t="n">
        <f aca="false">MAX(I50,F51)</f>
        <v>672839.319124344</v>
      </c>
      <c r="J51" s="6" t="n">
        <f aca="false">MAX(J50,G51)</f>
        <v>755046.259332409</v>
      </c>
      <c r="K51" s="6" t="n">
        <f aca="false">MAX(K50,H51)</f>
        <v>673938.281639965</v>
      </c>
      <c r="L51" s="14" t="n">
        <f aca="false">F51/I51-1</f>
        <v>0</v>
      </c>
      <c r="M51" s="14" t="n">
        <f aca="false">G51/J51-1</f>
        <v>0</v>
      </c>
      <c r="N51" s="14" t="n">
        <f aca="false">H51/K51-1</f>
        <v>0</v>
      </c>
    </row>
    <row r="52" customFormat="false" ht="15" hidden="false" customHeight="false" outlineLevel="0" collapsed="false">
      <c r="A52" s="17" t="n">
        <v>44104</v>
      </c>
      <c r="B52" s="19" t="n">
        <v>9.167E-005</v>
      </c>
      <c r="C52" s="14" t="n">
        <v>-0.01639767</v>
      </c>
      <c r="D52" s="14" t="n">
        <v>-0.02390909</v>
      </c>
      <c r="E52" s="14" t="n">
        <v>-0.01863847</v>
      </c>
      <c r="F52" s="6" t="n">
        <f aca="false">F51*(1+C52)</f>
        <v>661806.322006318</v>
      </c>
      <c r="G52" s="6" t="n">
        <f aca="false">G51*(1+D52)</f>
        <v>736993.790363867</v>
      </c>
      <c r="H52" s="6" t="n">
        <f aca="false">H51*(1+E52)</f>
        <v>661377.103195767</v>
      </c>
      <c r="I52" s="6" t="n">
        <f aca="false">MAX(I51,F52)</f>
        <v>672839.319124344</v>
      </c>
      <c r="J52" s="6" t="n">
        <f aca="false">MAX(J51,G52)</f>
        <v>755046.259332409</v>
      </c>
      <c r="K52" s="6" t="n">
        <f aca="false">MAX(K51,H52)</f>
        <v>673938.281639965</v>
      </c>
      <c r="L52" s="14" t="n">
        <f aca="false">F52/I52-1</f>
        <v>-0.01639767</v>
      </c>
      <c r="M52" s="14" t="n">
        <f aca="false">G52/J52-1</f>
        <v>-0.0239090899999999</v>
      </c>
      <c r="N52" s="14" t="n">
        <f aca="false">H52/K52-1</f>
        <v>-0.01863847</v>
      </c>
    </row>
    <row r="53" customFormat="false" ht="15" hidden="false" customHeight="false" outlineLevel="0" collapsed="false">
      <c r="A53" s="17" t="n">
        <v>44135</v>
      </c>
      <c r="B53" s="19" t="n">
        <v>8.333E-005</v>
      </c>
      <c r="C53" s="14" t="n">
        <v>-0.01308484</v>
      </c>
      <c r="D53" s="14" t="n">
        <v>-0.01719344</v>
      </c>
      <c r="E53" s="14" t="n">
        <v>-0.01612837</v>
      </c>
      <c r="F53" s="6" t="n">
        <f aca="false">F52*(1+C53)</f>
        <v>653146.692171877</v>
      </c>
      <c r="G53" s="6" t="n">
        <f aca="false">G52*(1+D53)</f>
        <v>724322.331848874</v>
      </c>
      <c r="H53" s="6" t="n">
        <f aca="false">H52*(1+E53)</f>
        <v>650710.168565897</v>
      </c>
      <c r="I53" s="6" t="n">
        <f aca="false">MAX(I52,F53)</f>
        <v>672839.319124344</v>
      </c>
      <c r="J53" s="6" t="n">
        <f aca="false">MAX(J52,G53)</f>
        <v>755046.259332409</v>
      </c>
      <c r="K53" s="6" t="n">
        <f aca="false">MAX(K52,H53)</f>
        <v>673938.281639965</v>
      </c>
      <c r="L53" s="14" t="n">
        <f aca="false">F53/I53-1</f>
        <v>-0.0292679491116772</v>
      </c>
      <c r="M53" s="14" t="n">
        <f aca="false">G53/J53-1</f>
        <v>-0.0406914504956304</v>
      </c>
      <c r="N53" s="14" t="n">
        <f aca="false">H53/K53-1</f>
        <v>-0.0344662318596061</v>
      </c>
    </row>
    <row r="54" customFormat="false" ht="15" hidden="false" customHeight="false" outlineLevel="0" collapsed="false">
      <c r="A54" s="17" t="n">
        <v>44165</v>
      </c>
      <c r="B54" s="19" t="n">
        <v>7.5E-005</v>
      </c>
      <c r="C54" s="14" t="n">
        <v>0.05658412</v>
      </c>
      <c r="D54" s="14" t="n">
        <v>0.06963634</v>
      </c>
      <c r="E54" s="14" t="n">
        <v>0.07536831</v>
      </c>
      <c r="F54" s="6" t="n">
        <f aca="false">F53*(1+C54)</f>
        <v>690104.422979333</v>
      </c>
      <c r="G54" s="6" t="n">
        <f aca="false">G53*(1+D54)</f>
        <v>774761.488019095</v>
      </c>
      <c r="H54" s="6" t="n">
        <f aca="false">H53*(1+E54)</f>
        <v>699753.094270524</v>
      </c>
      <c r="I54" s="6" t="n">
        <f aca="false">MAX(I53,F54)</f>
        <v>690104.422979333</v>
      </c>
      <c r="J54" s="6" t="n">
        <f aca="false">MAX(J53,G54)</f>
        <v>774761.488019095</v>
      </c>
      <c r="K54" s="6" t="n">
        <f aca="false">MAX(K53,H54)</f>
        <v>699753.094270524</v>
      </c>
      <c r="L54" s="14" t="n">
        <f aca="false">F54/I54-1</f>
        <v>0</v>
      </c>
      <c r="M54" s="14" t="n">
        <f aca="false">G54/J54-1</f>
        <v>0</v>
      </c>
      <c r="N54" s="14" t="n">
        <f aca="false">H54/K54-1</f>
        <v>0</v>
      </c>
    </row>
    <row r="55" customFormat="false" ht="15" hidden="false" customHeight="false" outlineLevel="0" collapsed="false">
      <c r="A55" s="17" t="n">
        <v>44196</v>
      </c>
      <c r="B55" s="19" t="n">
        <v>6.667E-005</v>
      </c>
      <c r="C55" s="14" t="n">
        <v>0.02850785</v>
      </c>
      <c r="D55" s="14" t="n">
        <v>0.02316334</v>
      </c>
      <c r="E55" s="14" t="n">
        <v>0.0285301</v>
      </c>
      <c r="F55" s="6" t="n">
        <f aca="false">F54*(1+C55)</f>
        <v>709777.816353965</v>
      </c>
      <c r="G55" s="6" t="n">
        <f aca="false">G54*(1+D55)</f>
        <v>792707.551784987</v>
      </c>
      <c r="H55" s="6" t="n">
        <f aca="false">H54*(1+E55)</f>
        <v>719717.120025371</v>
      </c>
      <c r="I55" s="6" t="n">
        <f aca="false">MAX(I54,F55)</f>
        <v>709777.816353965</v>
      </c>
      <c r="J55" s="6" t="n">
        <f aca="false">MAX(J54,G55)</f>
        <v>792707.551784987</v>
      </c>
      <c r="K55" s="6" t="n">
        <f aca="false">MAX(K54,H55)</f>
        <v>719717.120025371</v>
      </c>
      <c r="L55" s="14" t="n">
        <f aca="false">F55/I55-1</f>
        <v>0</v>
      </c>
      <c r="M55" s="14" t="n">
        <f aca="false">G55/J55-1</f>
        <v>0</v>
      </c>
      <c r="N55" s="14" t="n">
        <f aca="false">H55/K55-1</f>
        <v>0</v>
      </c>
    </row>
    <row r="56" customFormat="false" ht="15" hidden="false" customHeight="false" outlineLevel="0" collapsed="false">
      <c r="A56" s="17" t="n">
        <v>44227</v>
      </c>
      <c r="B56" s="19" t="n">
        <v>7.5E-005</v>
      </c>
      <c r="C56" s="14" t="n">
        <v>-0.00166434</v>
      </c>
      <c r="D56" s="14" t="n">
        <v>-0.00909251</v>
      </c>
      <c r="E56" s="14" t="n">
        <v>-0.00287344</v>
      </c>
      <c r="F56" s="6" t="n">
        <f aca="false">F55*(1+C56)</f>
        <v>708596.504743094</v>
      </c>
      <c r="G56" s="6" t="n">
        <f aca="false">G55*(1+D56)</f>
        <v>785499.850443306</v>
      </c>
      <c r="H56" s="6" t="n">
        <f aca="false">H55*(1+E56)</f>
        <v>717649.056064006</v>
      </c>
      <c r="I56" s="6" t="n">
        <f aca="false">MAX(I55,F56)</f>
        <v>709777.816353965</v>
      </c>
      <c r="J56" s="6" t="n">
        <f aca="false">MAX(J55,G56)</f>
        <v>792707.551784987</v>
      </c>
      <c r="K56" s="6" t="n">
        <f aca="false">MAX(K55,H56)</f>
        <v>719717.120025371</v>
      </c>
      <c r="L56" s="14" t="n">
        <f aca="false">F56/I56-1</f>
        <v>-0.00166433999999993</v>
      </c>
      <c r="M56" s="14" t="n">
        <f aca="false">G56/J56-1</f>
        <v>-0.00909251</v>
      </c>
      <c r="N56" s="14" t="n">
        <f aca="false">H56/K56-1</f>
        <v>-0.00287344000000001</v>
      </c>
    </row>
    <row r="57" customFormat="false" ht="15" hidden="false" customHeight="false" outlineLevel="0" collapsed="false">
      <c r="A57" s="17" t="n">
        <v>44255</v>
      </c>
      <c r="B57" s="19" t="n">
        <v>5E-005</v>
      </c>
      <c r="C57" s="14" t="n">
        <v>0.00408017</v>
      </c>
      <c r="D57" s="14" t="n">
        <v>0.01058202</v>
      </c>
      <c r="E57" s="14" t="n">
        <v>0.01171939</v>
      </c>
      <c r="F57" s="6" t="n">
        <f aca="false">F56*(1+C57)</f>
        <v>711487.698943852</v>
      </c>
      <c r="G57" s="6" t="n">
        <f aca="false">G56*(1+D57)</f>
        <v>793812.025570694</v>
      </c>
      <c r="H57" s="6" t="n">
        <f aca="false">H56*(1+E57)</f>
        <v>726059.465235152</v>
      </c>
      <c r="I57" s="6" t="n">
        <f aca="false">MAX(I56,F57)</f>
        <v>711487.698943852</v>
      </c>
      <c r="J57" s="6" t="n">
        <f aca="false">MAX(J56,G57)</f>
        <v>793812.025570694</v>
      </c>
      <c r="K57" s="6" t="n">
        <f aca="false">MAX(K56,H57)</f>
        <v>726059.465235152</v>
      </c>
      <c r="L57" s="14" t="n">
        <f aca="false">F57/I57-1</f>
        <v>0</v>
      </c>
      <c r="M57" s="14" t="n">
        <f aca="false">G57/J57-1</f>
        <v>0</v>
      </c>
      <c r="N57" s="14" t="n">
        <f aca="false">H57/K57-1</f>
        <v>0</v>
      </c>
    </row>
    <row r="58" customFormat="false" ht="15" hidden="false" customHeight="false" outlineLevel="0" collapsed="false">
      <c r="A58" s="17" t="n">
        <v>44286</v>
      </c>
      <c r="B58" s="19" t="n">
        <v>3.333E-005</v>
      </c>
      <c r="C58" s="14" t="n">
        <v>0.01506345</v>
      </c>
      <c r="D58" s="14" t="n">
        <v>0.02317402</v>
      </c>
      <c r="E58" s="14" t="n">
        <v>0.01709089</v>
      </c>
      <c r="F58" s="6" t="n">
        <f aca="false">F57*(1+C58)</f>
        <v>722205.158322507</v>
      </c>
      <c r="G58" s="6" t="n">
        <f aca="false">G57*(1+D58)</f>
        <v>812207.84132751</v>
      </c>
      <c r="H58" s="6" t="n">
        <f aca="false">H57*(1+E58)</f>
        <v>738468.467688944</v>
      </c>
      <c r="I58" s="6" t="n">
        <f aca="false">MAX(I57,F58)</f>
        <v>722205.158322507</v>
      </c>
      <c r="J58" s="6" t="n">
        <f aca="false">MAX(J57,G58)</f>
        <v>812207.84132751</v>
      </c>
      <c r="K58" s="6" t="n">
        <f aca="false">MAX(K57,H58)</f>
        <v>738468.467688944</v>
      </c>
      <c r="L58" s="14" t="n">
        <f aca="false">F58/I58-1</f>
        <v>0</v>
      </c>
      <c r="M58" s="14" t="n">
        <f aca="false">G58/J58-1</f>
        <v>0</v>
      </c>
      <c r="N58" s="14" t="n">
        <f aca="false">H58/K58-1</f>
        <v>0</v>
      </c>
    </row>
    <row r="59" customFormat="false" ht="15" hidden="false" customHeight="false" outlineLevel="0" collapsed="false">
      <c r="A59" s="17" t="n">
        <v>44316</v>
      </c>
      <c r="B59" s="19" t="n">
        <v>2.5E-005</v>
      </c>
      <c r="C59" s="14" t="n">
        <v>0.02687971</v>
      </c>
      <c r="D59" s="14" t="n">
        <v>0.03467433</v>
      </c>
      <c r="E59" s="14" t="n">
        <v>0.02681104</v>
      </c>
      <c r="F59" s="6" t="n">
        <f aca="false">F58*(1+C59)</f>
        <v>741617.82353872</v>
      </c>
      <c r="G59" s="6" t="n">
        <f aca="false">G58*(1+D59)</f>
        <v>840370.604046288</v>
      </c>
      <c r="H59" s="6" t="n">
        <f aca="false">H58*(1+E59)</f>
        <v>758267.575314891</v>
      </c>
      <c r="I59" s="6" t="n">
        <f aca="false">MAX(I58,F59)</f>
        <v>741617.82353872</v>
      </c>
      <c r="J59" s="6" t="n">
        <f aca="false">MAX(J58,G59)</f>
        <v>840370.604046288</v>
      </c>
      <c r="K59" s="6" t="n">
        <f aca="false">MAX(K58,H59)</f>
        <v>758267.575314891</v>
      </c>
      <c r="L59" s="14" t="n">
        <f aca="false">F59/I59-1</f>
        <v>0</v>
      </c>
      <c r="M59" s="14" t="n">
        <f aca="false">G59/J59-1</f>
        <v>0</v>
      </c>
      <c r="N59" s="14" t="n">
        <f aca="false">H59/K59-1</f>
        <v>0</v>
      </c>
    </row>
    <row r="60" customFormat="false" ht="15" hidden="false" customHeight="false" outlineLevel="0" collapsed="false">
      <c r="A60" s="17" t="n">
        <v>44347</v>
      </c>
      <c r="B60" s="19" t="n">
        <v>8.33E-006</v>
      </c>
      <c r="C60" s="14" t="n">
        <v>0.01550395</v>
      </c>
      <c r="D60" s="14" t="n">
        <v>0.00480299</v>
      </c>
      <c r="E60" s="14" t="n">
        <v>0.01293744</v>
      </c>
      <c r="F60" s="6" t="n">
        <f aca="false">F59*(1+C60)</f>
        <v>753115.829193974</v>
      </c>
      <c r="G60" s="6" t="n">
        <f aca="false">G59*(1+D60)</f>
        <v>844406.895653816</v>
      </c>
      <c r="H60" s="6" t="n">
        <f aca="false">H59*(1+E60)</f>
        <v>768077.616574473</v>
      </c>
      <c r="I60" s="6" t="n">
        <f aca="false">MAX(I59,F60)</f>
        <v>753115.829193974</v>
      </c>
      <c r="J60" s="6" t="n">
        <f aca="false">MAX(J59,G60)</f>
        <v>844406.895653816</v>
      </c>
      <c r="K60" s="6" t="n">
        <f aca="false">MAX(K59,H60)</f>
        <v>768077.616574473</v>
      </c>
      <c r="L60" s="14" t="n">
        <f aca="false">F60/I60-1</f>
        <v>0</v>
      </c>
      <c r="M60" s="14" t="n">
        <f aca="false">G60/J60-1</f>
        <v>0</v>
      </c>
      <c r="N60" s="14" t="n">
        <f aca="false">H60/K60-1</f>
        <v>0</v>
      </c>
    </row>
    <row r="61" customFormat="false" ht="15" hidden="false" customHeight="false" outlineLevel="0" collapsed="false">
      <c r="A61" s="17" t="n">
        <v>44377</v>
      </c>
      <c r="B61" s="19" t="n">
        <v>8.33E-006</v>
      </c>
      <c r="C61" s="14" t="n">
        <v>0.00513808</v>
      </c>
      <c r="D61" s="14" t="n">
        <v>0.01691772</v>
      </c>
      <c r="E61" s="14" t="n">
        <v>0.00737551</v>
      </c>
      <c r="F61" s="6" t="n">
        <f aca="false">F60*(1+C61)</f>
        <v>756985.398573639</v>
      </c>
      <c r="G61" s="6" t="n">
        <f aca="false">G60*(1+D61)</f>
        <v>858692.335080556</v>
      </c>
      <c r="H61" s="6" t="n">
        <f aca="false">H60*(1+E61)</f>
        <v>773742.580716294</v>
      </c>
      <c r="I61" s="6" t="n">
        <f aca="false">MAX(I60,F61)</f>
        <v>756985.398573639</v>
      </c>
      <c r="J61" s="6" t="n">
        <f aca="false">MAX(J60,G61)</f>
        <v>858692.335080556</v>
      </c>
      <c r="K61" s="6" t="n">
        <f aca="false">MAX(K60,H61)</f>
        <v>773742.580716294</v>
      </c>
      <c r="L61" s="14" t="n">
        <f aca="false">F61/I61-1</f>
        <v>0</v>
      </c>
      <c r="M61" s="14" t="n">
        <f aca="false">G61/J61-1</f>
        <v>0</v>
      </c>
      <c r="N61" s="14" t="n">
        <f aca="false">H61/K61-1</f>
        <v>0</v>
      </c>
    </row>
    <row r="62" customFormat="false" ht="15" hidden="false" customHeight="false" outlineLevel="0" collapsed="false">
      <c r="A62" s="17" t="n">
        <v>44408</v>
      </c>
      <c r="B62" s="19" t="n">
        <v>4.167E-005</v>
      </c>
      <c r="C62" s="14" t="n">
        <v>0.01152538</v>
      </c>
      <c r="D62" s="14" t="n">
        <v>0.01911337</v>
      </c>
      <c r="E62" s="14" t="n">
        <v>0.0081579</v>
      </c>
      <c r="F62" s="6" t="n">
        <f aca="false">F61*(1+C62)</f>
        <v>765709.942946651</v>
      </c>
      <c r="G62" s="6" t="n">
        <f aca="false">G61*(1+D62)</f>
        <v>875104.839397115</v>
      </c>
      <c r="H62" s="6" t="n">
        <f aca="false">H61*(1+E62)</f>
        <v>780054.69531552</v>
      </c>
      <c r="I62" s="6" t="n">
        <f aca="false">MAX(I61,F62)</f>
        <v>765709.942946651</v>
      </c>
      <c r="J62" s="6" t="n">
        <f aca="false">MAX(J61,G62)</f>
        <v>875104.839397115</v>
      </c>
      <c r="K62" s="6" t="n">
        <f aca="false">MAX(K61,H62)</f>
        <v>780054.69531552</v>
      </c>
      <c r="L62" s="14" t="n">
        <f aca="false">F62/I62-1</f>
        <v>0</v>
      </c>
      <c r="M62" s="14" t="n">
        <f aca="false">G62/J62-1</f>
        <v>0</v>
      </c>
      <c r="N62" s="14" t="n">
        <f aca="false">H62/K62-1</f>
        <v>0</v>
      </c>
    </row>
    <row r="63" customFormat="false" ht="15" hidden="false" customHeight="false" outlineLevel="0" collapsed="false">
      <c r="A63" s="17" t="n">
        <v>44439</v>
      </c>
      <c r="B63" s="19" t="n">
        <v>5E-005</v>
      </c>
      <c r="C63" s="14" t="n">
        <v>0.01210937</v>
      </c>
      <c r="D63" s="14" t="n">
        <v>0.01715391</v>
      </c>
      <c r="E63" s="14" t="n">
        <v>0.01637598</v>
      </c>
      <c r="F63" s="6" t="n">
        <f aca="false">F62*(1+C63)</f>
        <v>774982.207958471</v>
      </c>
      <c r="G63" s="6" t="n">
        <f aca="false">G62*(1+D63)</f>
        <v>890116.309052698</v>
      </c>
      <c r="H63" s="6" t="n">
        <f aca="false">H62*(1+E63)</f>
        <v>792828.855404913</v>
      </c>
      <c r="I63" s="6" t="n">
        <f aca="false">MAX(I62,F63)</f>
        <v>774982.207958471</v>
      </c>
      <c r="J63" s="6" t="n">
        <f aca="false">MAX(J62,G63)</f>
        <v>890116.309052698</v>
      </c>
      <c r="K63" s="6" t="n">
        <f aca="false">MAX(K62,H63)</f>
        <v>792828.855404913</v>
      </c>
      <c r="L63" s="14" t="n">
        <f aca="false">F63/I63-1</f>
        <v>0</v>
      </c>
      <c r="M63" s="14" t="n">
        <f aca="false">G63/J63-1</f>
        <v>0</v>
      </c>
      <c r="N63" s="14" t="n">
        <f aca="false">H63/K63-1</f>
        <v>0</v>
      </c>
    </row>
    <row r="64" customFormat="false" ht="15" hidden="false" customHeight="false" outlineLevel="0" collapsed="false">
      <c r="A64" s="17" t="n">
        <v>44469</v>
      </c>
      <c r="B64" s="19" t="n">
        <v>3.333E-005</v>
      </c>
      <c r="C64" s="14" t="n">
        <v>-0.02384701</v>
      </c>
      <c r="D64" s="14" t="n">
        <v>-0.03203031</v>
      </c>
      <c r="E64" s="14" t="n">
        <v>-0.02854639</v>
      </c>
      <c r="F64" s="6" t="n">
        <f aca="false">F63*(1+C64)</f>
        <v>756501.199495463</v>
      </c>
      <c r="G64" s="6" t="n">
        <f aca="false">G63*(1+D64)</f>
        <v>861605.607737684</v>
      </c>
      <c r="H64" s="6" t="n">
        <f aca="false">H63*(1+E64)</f>
        <v>770196.453695271</v>
      </c>
      <c r="I64" s="6" t="n">
        <f aca="false">MAX(I63,F64)</f>
        <v>774982.207958471</v>
      </c>
      <c r="J64" s="6" t="n">
        <f aca="false">MAX(J63,G64)</f>
        <v>890116.309052698</v>
      </c>
      <c r="K64" s="6" t="n">
        <f aca="false">MAX(K63,H64)</f>
        <v>792828.855404913</v>
      </c>
      <c r="L64" s="14" t="n">
        <f aca="false">F64/I64-1</f>
        <v>-0.02384701</v>
      </c>
      <c r="M64" s="14" t="n">
        <f aca="false">G64/J64-1</f>
        <v>-0.03203031</v>
      </c>
      <c r="N64" s="14" t="n">
        <f aca="false">H64/K64-1</f>
        <v>-0.02854639</v>
      </c>
    </row>
    <row r="65" customFormat="false" ht="15" hidden="false" customHeight="false" outlineLevel="0" collapsed="false">
      <c r="A65" s="17" t="n">
        <v>44500</v>
      </c>
      <c r="B65" s="19" t="n">
        <v>3.333E-005</v>
      </c>
      <c r="C65" s="14" t="n">
        <v>0.02703249</v>
      </c>
      <c r="D65" s="14" t="n">
        <v>0.04206355</v>
      </c>
      <c r="E65" s="14" t="n">
        <v>0.02832293</v>
      </c>
      <c r="F65" s="6" t="n">
        <f aca="false">F64*(1+C65)</f>
        <v>776951.310605812</v>
      </c>
      <c r="G65" s="6" t="n">
        <f aca="false">G64*(1+D65)</f>
        <v>897847.798299038</v>
      </c>
      <c r="H65" s="6" t="n">
        <f aca="false">H64*(1+E65)</f>
        <v>792010.67393953</v>
      </c>
      <c r="I65" s="6" t="n">
        <f aca="false">MAX(I64,F65)</f>
        <v>776951.310605812</v>
      </c>
      <c r="J65" s="6" t="n">
        <f aca="false">MAX(J64,G65)</f>
        <v>897847.798299038</v>
      </c>
      <c r="K65" s="6" t="n">
        <f aca="false">MAX(K64,H65)</f>
        <v>792828.855404913</v>
      </c>
      <c r="L65" s="14" t="n">
        <f aca="false">F65/I65-1</f>
        <v>0</v>
      </c>
      <c r="M65" s="14" t="n">
        <f aca="false">G65/J65-1</f>
        <v>0</v>
      </c>
      <c r="N65" s="14" t="n">
        <f aca="false">H65/K65-1</f>
        <v>-0.00103197740572258</v>
      </c>
    </row>
    <row r="66" customFormat="false" ht="15" hidden="false" customHeight="false" outlineLevel="0" collapsed="false">
      <c r="A66" s="17" t="n">
        <v>44530</v>
      </c>
      <c r="B66" s="19" t="n">
        <v>4.167E-005</v>
      </c>
      <c r="C66" s="14" t="n">
        <v>-0.01014761</v>
      </c>
      <c r="D66" s="14" t="n">
        <v>-0.00391161</v>
      </c>
      <c r="E66" s="14" t="n">
        <v>-0.01177518</v>
      </c>
      <c r="F66" s="6" t="n">
        <f aca="false">F65*(1+C66)</f>
        <v>769067.111716796</v>
      </c>
      <c r="G66" s="6" t="n">
        <f aca="false">G65*(1+D66)</f>
        <v>894335.767872734</v>
      </c>
      <c r="H66" s="6" t="n">
        <f aca="false">H65*(1+E66)</f>
        <v>782684.605691971</v>
      </c>
      <c r="I66" s="6" t="n">
        <f aca="false">MAX(I65,F66)</f>
        <v>776951.310605812</v>
      </c>
      <c r="J66" s="6" t="n">
        <f aca="false">MAX(J65,G66)</f>
        <v>897847.798299038</v>
      </c>
      <c r="K66" s="6" t="n">
        <f aca="false">MAX(K65,H66)</f>
        <v>792828.855404913</v>
      </c>
      <c r="L66" s="14" t="n">
        <f aca="false">F66/I66-1</f>
        <v>-0.01014761</v>
      </c>
      <c r="M66" s="14" t="n">
        <f aca="false">G66/J66-1</f>
        <v>-0.00391160999999995</v>
      </c>
      <c r="N66" s="14" t="n">
        <f aca="false">H66/K66-1</f>
        <v>-0.0127950056860143</v>
      </c>
    </row>
    <row r="67" customFormat="false" ht="15" hidden="false" customHeight="false" outlineLevel="0" collapsed="false">
      <c r="A67" s="17" t="n">
        <v>44561</v>
      </c>
      <c r="B67" s="19" t="n">
        <v>4.167E-005</v>
      </c>
      <c r="C67" s="14" t="n">
        <v>0.02143186</v>
      </c>
      <c r="D67" s="14" t="n">
        <v>0.02696723</v>
      </c>
      <c r="E67" s="14" t="n">
        <v>0.02241436</v>
      </c>
      <c r="F67" s="6" t="n">
        <f aca="false">F66*(1+C67)</f>
        <v>785549.650385715</v>
      </c>
      <c r="G67" s="6" t="n">
        <f aca="false">G66*(1+D67)</f>
        <v>918453.526222184</v>
      </c>
      <c r="H67" s="6" t="n">
        <f aca="false">H66*(1+E67)</f>
        <v>800227.980210409</v>
      </c>
      <c r="I67" s="6" t="n">
        <f aca="false">MAX(I66,F67)</f>
        <v>785549.650385715</v>
      </c>
      <c r="J67" s="6" t="n">
        <f aca="false">MAX(J66,G67)</f>
        <v>918453.526222184</v>
      </c>
      <c r="K67" s="6" t="n">
        <f aca="false">MAX(K66,H67)</f>
        <v>800227.980210409</v>
      </c>
      <c r="L67" s="14" t="n">
        <f aca="false">F67/I67-1</f>
        <v>0</v>
      </c>
      <c r="M67" s="14" t="n">
        <f aca="false">G67/J67-1</f>
        <v>0</v>
      </c>
      <c r="N67" s="14" t="n">
        <f aca="false">H67/K67-1</f>
        <v>0</v>
      </c>
    </row>
    <row r="68" customFormat="false" ht="15" hidden="false" customHeight="false" outlineLevel="0" collapsed="false">
      <c r="A68" s="17" t="n">
        <v>44592</v>
      </c>
      <c r="B68" s="19" t="n">
        <v>5E-005</v>
      </c>
      <c r="C68" s="14" t="n">
        <v>-0.0269754</v>
      </c>
      <c r="D68" s="14" t="n">
        <v>-0.03963908</v>
      </c>
      <c r="E68" s="14" t="n">
        <v>-0.03381214</v>
      </c>
      <c r="F68" s="6" t="n">
        <f aca="false">F67*(1+C68)</f>
        <v>764359.1343467</v>
      </c>
      <c r="G68" s="6" t="n">
        <f aca="false">G67*(1+D68)</f>
        <v>882046.873419981</v>
      </c>
      <c r="H68" s="6" t="n">
        <f aca="false">H67*(1+E68)</f>
        <v>773170.559711617</v>
      </c>
      <c r="I68" s="6" t="n">
        <f aca="false">MAX(I67,F68)</f>
        <v>785549.650385715</v>
      </c>
      <c r="J68" s="6" t="n">
        <f aca="false">MAX(J67,G68)</f>
        <v>918453.526222184</v>
      </c>
      <c r="K68" s="6" t="n">
        <f aca="false">MAX(K67,H68)</f>
        <v>800227.980210409</v>
      </c>
      <c r="L68" s="14" t="n">
        <f aca="false">F68/I68-1</f>
        <v>-0.0269754</v>
      </c>
      <c r="M68" s="14" t="n">
        <f aca="false">G68/J68-1</f>
        <v>-0.0396390800000001</v>
      </c>
      <c r="N68" s="14" t="n">
        <f aca="false">H68/K68-1</f>
        <v>-0.0338121400000001</v>
      </c>
    </row>
    <row r="69" customFormat="false" ht="15" hidden="false" customHeight="false" outlineLevel="0" collapsed="false">
      <c r="A69" s="17" t="n">
        <v>44620</v>
      </c>
      <c r="B69" s="19" t="n">
        <v>0.00018333</v>
      </c>
      <c r="C69" s="14" t="n">
        <v>-0.00738245</v>
      </c>
      <c r="D69" s="14" t="n">
        <v>-0.02214501</v>
      </c>
      <c r="E69" s="14" t="n">
        <v>-0.0199456</v>
      </c>
      <c r="F69" s="6" t="n">
        <f aca="false">F68*(1+C69)</f>
        <v>758716.291255342</v>
      </c>
      <c r="G69" s="6" t="n">
        <f aca="false">G68*(1+D69)</f>
        <v>862513.936587627</v>
      </c>
      <c r="H69" s="6" t="n">
        <f aca="false">H68*(1+E69)</f>
        <v>757749.208995833</v>
      </c>
      <c r="I69" s="6" t="n">
        <f aca="false">MAX(I68,F69)</f>
        <v>785549.650385715</v>
      </c>
      <c r="J69" s="6" t="n">
        <f aca="false">MAX(J68,G69)</f>
        <v>918453.526222184</v>
      </c>
      <c r="K69" s="6" t="n">
        <f aca="false">MAX(K68,H69)</f>
        <v>800227.980210409</v>
      </c>
      <c r="L69" s="14" t="n">
        <f aca="false">F69/I69-1</f>
        <v>-0.03415870545827</v>
      </c>
      <c r="M69" s="14" t="n">
        <f aca="false">G69/J69-1</f>
        <v>-0.0609062821770093</v>
      </c>
      <c r="N69" s="14" t="n">
        <f aca="false">H69/K69-1</f>
        <v>-0.0530833365804161</v>
      </c>
    </row>
    <row r="70" customFormat="false" ht="15" hidden="false" customHeight="false" outlineLevel="0" collapsed="false">
      <c r="A70" s="17" t="n">
        <v>44651</v>
      </c>
      <c r="B70" s="19" t="n">
        <v>0.00029167</v>
      </c>
      <c r="C70" s="14" t="n">
        <v>0.00479598</v>
      </c>
      <c r="D70" s="14" t="n">
        <v>0.01047126</v>
      </c>
      <c r="E70" s="14" t="n">
        <v>-0.00166506</v>
      </c>
      <c r="F70" s="6" t="n">
        <f aca="false">F69*(1+C70)</f>
        <v>762355.079413877</v>
      </c>
      <c r="G70" s="6" t="n">
        <f aca="false">G69*(1+D70)</f>
        <v>871545.544271259</v>
      </c>
      <c r="H70" s="6" t="n">
        <f aca="false">H69*(1+E70)</f>
        <v>756487.511097902</v>
      </c>
      <c r="I70" s="6" t="n">
        <f aca="false">MAX(I69,F70)</f>
        <v>785549.650385715</v>
      </c>
      <c r="J70" s="6" t="n">
        <f aca="false">MAX(J69,G70)</f>
        <v>918453.526222184</v>
      </c>
      <c r="K70" s="6" t="n">
        <f aca="false">MAX(K69,H70)</f>
        <v>800227.980210409</v>
      </c>
      <c r="L70" s="14" t="n">
        <f aca="false">F70/I70-1</f>
        <v>-0.0295265499264739</v>
      </c>
      <c r="M70" s="14" t="n">
        <f aca="false">G70/J70-1</f>
        <v>-0.051072787693318</v>
      </c>
      <c r="N70" s="14" t="n">
        <f aca="false">H70/K70-1</f>
        <v>-0.0546600096400095</v>
      </c>
    </row>
    <row r="71" customFormat="false" ht="15" hidden="false" customHeight="false" outlineLevel="0" collapsed="false">
      <c r="A71" s="17" t="n">
        <v>44681</v>
      </c>
      <c r="B71" s="19" t="n">
        <v>0.00043333</v>
      </c>
      <c r="C71" s="14" t="n">
        <v>-0.04597778</v>
      </c>
      <c r="D71" s="14" t="n">
        <v>-0.06788496</v>
      </c>
      <c r="E71" s="14" t="n">
        <v>-0.06040895</v>
      </c>
      <c r="F71" s="6" t="n">
        <f aca="false">F70*(1+C71)</f>
        <v>727303.685290703</v>
      </c>
      <c r="G71" s="6" t="n">
        <f aca="false">G70*(1+D71)</f>
        <v>812380.709860227</v>
      </c>
      <c r="H71" s="6" t="n">
        <f aca="false">H70*(1+E71)</f>
        <v>710788.894864365</v>
      </c>
      <c r="I71" s="6" t="n">
        <f aca="false">MAX(I70,F71)</f>
        <v>785549.650385715</v>
      </c>
      <c r="J71" s="6" t="n">
        <f aca="false">MAX(J70,G71)</f>
        <v>918453.526222184</v>
      </c>
      <c r="K71" s="6" t="n">
        <f aca="false">MAX(K70,H71)</f>
        <v>800227.980210409</v>
      </c>
      <c r="L71" s="14" t="n">
        <f aca="false">F71/I71-1</f>
        <v>-0.0741467647097953</v>
      </c>
      <c r="M71" s="14" t="n">
        <f aca="false">G71/J71-1</f>
        <v>-0.115490673543669</v>
      </c>
      <c r="N71" s="14" t="n">
        <f aca="false">H71/K71-1</f>
        <v>-0.111767005850667</v>
      </c>
    </row>
    <row r="72" customFormat="false" ht="15" hidden="false" customHeight="false" outlineLevel="0" collapsed="false">
      <c r="A72" s="17" t="n">
        <v>44712</v>
      </c>
      <c r="B72" s="19" t="n">
        <v>0.00070833</v>
      </c>
      <c r="C72" s="14" t="n">
        <v>-0.00571379</v>
      </c>
      <c r="D72" s="14" t="n">
        <v>0.00446506</v>
      </c>
      <c r="E72" s="14" t="n">
        <v>0.00494462</v>
      </c>
      <c r="F72" s="6" t="n">
        <f aca="false">F71*(1+C72)</f>
        <v>723148.024766726</v>
      </c>
      <c r="G72" s="6" t="n">
        <f aca="false">G71*(1+D72)</f>
        <v>816008.038472595</v>
      </c>
      <c r="H72" s="6" t="n">
        <f aca="false">H71*(1+E72)</f>
        <v>714303.475849689</v>
      </c>
      <c r="I72" s="6" t="n">
        <f aca="false">MAX(I71,F72)</f>
        <v>785549.650385715</v>
      </c>
      <c r="J72" s="6" t="n">
        <f aca="false">MAX(J71,G72)</f>
        <v>918453.526222184</v>
      </c>
      <c r="K72" s="6" t="n">
        <f aca="false">MAX(K71,H72)</f>
        <v>800227.980210409</v>
      </c>
      <c r="L72" s="14" t="n">
        <f aca="false">F72/I72-1</f>
        <v>-0.0794368956670642</v>
      </c>
      <c r="M72" s="14" t="n">
        <f aca="false">G72/J72-1</f>
        <v>-0.111541286330481</v>
      </c>
      <c r="N72" s="14" t="n">
        <f aca="false">H72/K72-1</f>
        <v>-0.107375031223136</v>
      </c>
    </row>
    <row r="73" customFormat="false" ht="15" hidden="false" customHeight="false" outlineLevel="0" collapsed="false">
      <c r="A73" s="17" t="n">
        <v>44742</v>
      </c>
      <c r="B73" s="19" t="n">
        <v>0.00096667</v>
      </c>
      <c r="C73" s="14" t="n">
        <v>-0.04703709</v>
      </c>
      <c r="D73" s="14" t="n">
        <v>-0.05477483</v>
      </c>
      <c r="E73" s="14" t="n">
        <v>-0.05530405</v>
      </c>
      <c r="F73" s="6" t="n">
        <f aca="false">F72*(1+C73)</f>
        <v>689133.246042451</v>
      </c>
      <c r="G73" s="6" t="n">
        <f aca="false">G72*(1+D73)</f>
        <v>771311.336886626</v>
      </c>
      <c r="H73" s="6" t="n">
        <f aca="false">H72*(1+E73)</f>
        <v>674799.600706124</v>
      </c>
      <c r="I73" s="6" t="n">
        <f aca="false">MAX(I72,F73)</f>
        <v>785549.650385715</v>
      </c>
      <c r="J73" s="6" t="n">
        <f aca="false">MAX(J72,G73)</f>
        <v>918453.526222184</v>
      </c>
      <c r="K73" s="6" t="n">
        <f aca="false">MAX(K72,H73)</f>
        <v>800227.980210409</v>
      </c>
      <c r="L73" s="14" t="n">
        <f aca="false">F73/I73-1</f>
        <v>-0.122737505256252</v>
      </c>
      <c r="M73" s="14" t="n">
        <f aca="false">G73/J73-1</f>
        <v>-0.160206461333748</v>
      </c>
      <c r="N73" s="14" t="n">
        <f aca="false">H73/K73-1</f>
        <v>-0.15674080712762</v>
      </c>
    </row>
    <row r="74" customFormat="false" ht="15" hidden="false" customHeight="false" outlineLevel="0" collapsed="false">
      <c r="A74" s="17" t="n">
        <v>44773</v>
      </c>
      <c r="B74" s="19" t="n">
        <v>0.00143333</v>
      </c>
      <c r="C74" s="14" t="n">
        <v>0.04160827</v>
      </c>
      <c r="D74" s="14" t="n">
        <v>0.06540485</v>
      </c>
      <c r="E74" s="14" t="n">
        <v>0.05144575</v>
      </c>
      <c r="F74" s="6" t="n">
        <f aca="false">F73*(1+C74)</f>
        <v>717806.888209762</v>
      </c>
      <c r="G74" s="6" t="n">
        <f aca="false">G73*(1+D74)</f>
        <v>821758.839178995</v>
      </c>
      <c r="H74" s="6" t="n">
        <f aca="false">H73*(1+E74)</f>
        <v>709515.172264151</v>
      </c>
      <c r="I74" s="6" t="n">
        <f aca="false">MAX(I73,F74)</f>
        <v>785549.650385715</v>
      </c>
      <c r="J74" s="6" t="n">
        <f aca="false">MAX(J73,G74)</f>
        <v>918453.526222184</v>
      </c>
      <c r="K74" s="6" t="n">
        <f aca="false">MAX(K73,H74)</f>
        <v>800227.980210409</v>
      </c>
      <c r="L74" s="14" t="n">
        <f aca="false">F74/I74-1</f>
        <v>-0.0862361305140805</v>
      </c>
      <c r="M74" s="14" t="n">
        <f aca="false">G74/J74-1</f>
        <v>-0.105279890906313</v>
      </c>
      <c r="N74" s="14" t="n">
        <f aca="false">H74/K74-1</f>
        <v>-0.113358705505906</v>
      </c>
    </row>
    <row r="75" customFormat="false" ht="15" hidden="false" customHeight="false" outlineLevel="0" collapsed="false">
      <c r="A75" s="17" t="n">
        <v>44804</v>
      </c>
      <c r="B75" s="19" t="n">
        <v>0.00200833</v>
      </c>
      <c r="C75" s="14" t="n">
        <v>-0.02900953</v>
      </c>
      <c r="D75" s="14" t="n">
        <v>-0.03680641</v>
      </c>
      <c r="E75" s="14" t="n">
        <v>-0.03792425</v>
      </c>
      <c r="F75" s="6" t="n">
        <f aca="false">F74*(1+C75)</f>
        <v>696983.647752034</v>
      </c>
      <c r="G75" s="6" t="n">
        <f aca="false">G74*(1+D75)</f>
        <v>791512.846423049</v>
      </c>
      <c r="H75" s="6" t="n">
        <f aca="false">H74*(1+E75)</f>
        <v>682607.341492412</v>
      </c>
      <c r="I75" s="6" t="n">
        <f aca="false">MAX(I74,F75)</f>
        <v>785549.650385715</v>
      </c>
      <c r="J75" s="6" t="n">
        <f aca="false">MAX(J74,G75)</f>
        <v>918453.526222184</v>
      </c>
      <c r="K75" s="6" t="n">
        <f aca="false">MAX(K74,H75)</f>
        <v>800227.980210409</v>
      </c>
      <c r="L75" s="14" t="n">
        <f aca="false">F75/I75-1</f>
        <v>-0.112743990898848</v>
      </c>
      <c r="M75" s="14" t="n">
        <f aca="false">G75/J75-1</f>
        <v>-0.13821132607686</v>
      </c>
      <c r="N75" s="14" t="n">
        <f aca="false">H75/K75-1</f>
        <v>-0.146983911618623</v>
      </c>
    </row>
    <row r="76" customFormat="false" ht="15" hidden="false" customHeight="false" outlineLevel="0" collapsed="false">
      <c r="A76" s="17" t="n">
        <v>44834</v>
      </c>
      <c r="B76" s="19" t="n">
        <v>0.00246667</v>
      </c>
      <c r="C76" s="14" t="n">
        <v>-0.06464781</v>
      </c>
      <c r="D76" s="14" t="n">
        <v>-0.0726843</v>
      </c>
      <c r="E76" s="14" t="n">
        <v>-0.07095434</v>
      </c>
      <c r="F76" s="6" t="n">
        <f aca="false">F75*(1+C76)</f>
        <v>651925.181319054</v>
      </c>
      <c r="G76" s="6" t="n">
        <f aca="false">G75*(1+D76)</f>
        <v>733982.289239782</v>
      </c>
      <c r="H76" s="6" t="n">
        <f aca="false">H75*(1+E76)</f>
        <v>634173.388097664</v>
      </c>
      <c r="I76" s="6" t="n">
        <f aca="false">MAX(I75,F76)</f>
        <v>785549.650385715</v>
      </c>
      <c r="J76" s="6" t="n">
        <f aca="false">MAX(J75,G76)</f>
        <v>918453.526222184</v>
      </c>
      <c r="K76" s="6" t="n">
        <f aca="false">MAX(K75,H76)</f>
        <v>800227.980210409</v>
      </c>
      <c r="L76" s="14" t="n">
        <f aca="false">F76/I76-1</f>
        <v>-0.170103148796578</v>
      </c>
      <c r="M76" s="14" t="n">
        <f aca="false">G76/J76-1</f>
        <v>-0.200849832588891</v>
      </c>
      <c r="N76" s="14" t="n">
        <f aca="false">H76/K76-1</f>
        <v>-0.207509105179106</v>
      </c>
    </row>
    <row r="77" customFormat="false" ht="15" hidden="false" customHeight="false" outlineLevel="0" collapsed="false">
      <c r="A77" s="17" t="n">
        <v>44865</v>
      </c>
      <c r="B77" s="19" t="n">
        <v>0.002775</v>
      </c>
      <c r="C77" s="14" t="n">
        <v>0.02345744</v>
      </c>
      <c r="D77" s="14" t="n">
        <v>0.0436514</v>
      </c>
      <c r="E77" s="14" t="n">
        <v>0.03199669</v>
      </c>
      <c r="F77" s="6" t="n">
        <f aca="false">F76*(1+C77)</f>
        <v>667217.677144335</v>
      </c>
      <c r="G77" s="6" t="n">
        <f aca="false">G76*(1+D77)</f>
        <v>766021.643740303</v>
      </c>
      <c r="H77" s="6" t="n">
        <f aca="false">H76*(1+E77)</f>
        <v>654464.837402874</v>
      </c>
      <c r="I77" s="6" t="n">
        <f aca="false">MAX(I76,F77)</f>
        <v>785549.650385715</v>
      </c>
      <c r="J77" s="6" t="n">
        <f aca="false">MAX(J76,G77)</f>
        <v>918453.526222184</v>
      </c>
      <c r="K77" s="6" t="n">
        <f aca="false">MAX(K76,H77)</f>
        <v>800227.980210409</v>
      </c>
      <c r="L77" s="14" t="n">
        <f aca="false">F77/I77-1</f>
        <v>-0.150635893203285</v>
      </c>
      <c r="M77" s="14" t="n">
        <f aca="false">G77/J77-1</f>
        <v>-0.165965808971162</v>
      </c>
      <c r="N77" s="14" t="n">
        <f aca="false">H77/K77-1</f>
        <v>-0.182152019689699</v>
      </c>
    </row>
    <row r="78" customFormat="false" ht="15" hidden="false" customHeight="false" outlineLevel="0" collapsed="false">
      <c r="A78" s="17" t="n">
        <v>44895</v>
      </c>
      <c r="B78" s="19" t="n">
        <v>0.00351667</v>
      </c>
      <c r="C78" s="14" t="n">
        <v>0.04790397</v>
      </c>
      <c r="D78" s="14" t="n">
        <v>0.04896746</v>
      </c>
      <c r="E78" s="14" t="n">
        <v>0.06886841</v>
      </c>
      <c r="F78" s="6" t="n">
        <f aca="false">F77*(1+C78)</f>
        <v>699180.052733726</v>
      </c>
      <c r="G78" s="6" t="n">
        <f aca="false">G77*(1+D78)</f>
        <v>803531.777939291</v>
      </c>
      <c r="H78" s="6" t="n">
        <f aca="false">H77*(1+E78)</f>
        <v>699536.790155719</v>
      </c>
      <c r="I78" s="6" t="n">
        <f aca="false">MAX(I77,F78)</f>
        <v>785549.650385715</v>
      </c>
      <c r="J78" s="6" t="n">
        <f aca="false">MAX(J77,G78)</f>
        <v>918453.526222184</v>
      </c>
      <c r="K78" s="6" t="n">
        <f aca="false">MAX(K77,H78)</f>
        <v>800227.980210409</v>
      </c>
      <c r="L78" s="14" t="n">
        <f aca="false">F78/I78-1</f>
        <v>-0.109947980512218</v>
      </c>
      <c r="M78" s="14" t="n">
        <f aca="false">G78/J78-1</f>
        <v>-0.125125273083325</v>
      </c>
      <c r="N78" s="14" t="n">
        <f aca="false">H78/K78-1</f>
        <v>-0.125828129664017</v>
      </c>
    </row>
    <row r="79" customFormat="false" ht="15" hidden="false" customHeight="false" outlineLevel="0" collapsed="false">
      <c r="A79" s="17" t="n">
        <v>44926</v>
      </c>
      <c r="B79" s="19" t="n">
        <v>0.00364167</v>
      </c>
      <c r="C79" s="14" t="n">
        <v>-0.02215611</v>
      </c>
      <c r="D79" s="14" t="n">
        <v>-0.03932213</v>
      </c>
      <c r="E79" s="14" t="n">
        <v>-0.03503989</v>
      </c>
      <c r="F79" s="6" t="n">
        <f aca="false">F78*(1+C79)</f>
        <v>683688.942575552</v>
      </c>
      <c r="G79" s="6" t="n">
        <f aca="false">G78*(1+D79)</f>
        <v>771935.196908031</v>
      </c>
      <c r="H79" s="6" t="n">
        <f aca="false">H78*(1+E79)</f>
        <v>675025.097977709</v>
      </c>
      <c r="I79" s="6" t="n">
        <f aca="false">MAX(I78,F79)</f>
        <v>785549.650385715</v>
      </c>
      <c r="J79" s="6" t="n">
        <f aca="false">MAX(J78,G79)</f>
        <v>918453.526222184</v>
      </c>
      <c r="K79" s="6" t="n">
        <f aca="false">MAX(K78,H79)</f>
        <v>800227.980210409</v>
      </c>
      <c r="L79" s="14" t="n">
        <f aca="false">F79/I79-1</f>
        <v>-0.129668070961711</v>
      </c>
      <c r="M79" s="14" t="n">
        <f aca="false">G79/J79-1</f>
        <v>-0.159527210828857</v>
      </c>
      <c r="N79" s="14" t="n">
        <f aca="false">H79/K79-1</f>
        <v>-0.156459015841684</v>
      </c>
    </row>
    <row r="80" customFormat="false" ht="15" hidden="false" customHeight="false" outlineLevel="0" collapsed="false">
      <c r="A80" s="17" t="n">
        <v>44957</v>
      </c>
      <c r="B80" s="19" t="n">
        <v>0.00368333</v>
      </c>
      <c r="C80" s="14" t="n">
        <v>0.04836248</v>
      </c>
      <c r="D80" s="14" t="n">
        <v>0.05105329</v>
      </c>
      <c r="E80" s="14" t="n">
        <v>0.06170478</v>
      </c>
      <c r="F80" s="6" t="n">
        <f aca="false">F79*(1+C80)</f>
        <v>716753.835387084</v>
      </c>
      <c r="G80" s="6" t="n">
        <f aca="false">G79*(1+D80)</f>
        <v>811345.028376984</v>
      </c>
      <c r="H80" s="6" t="n">
        <f aca="false">H79*(1+E80)</f>
        <v>716677.373142902</v>
      </c>
      <c r="I80" s="6" t="n">
        <f aca="false">MAX(I79,F80)</f>
        <v>785549.650385715</v>
      </c>
      <c r="J80" s="6" t="n">
        <f aca="false">MAX(J79,G80)</f>
        <v>918453.526222184</v>
      </c>
      <c r="K80" s="6" t="n">
        <f aca="false">MAX(K79,H80)</f>
        <v>800227.980210409</v>
      </c>
      <c r="L80" s="14" t="n">
        <f aca="false">F80/I80-1</f>
        <v>-0.0875766604502356</v>
      </c>
      <c r="M80" s="14" t="n">
        <f aca="false">G80/J80-1</f>
        <v>-0.116618309786194</v>
      </c>
      <c r="N80" s="14" t="n">
        <f aca="false">H80/K80-1</f>
        <v>-0.104408504993212</v>
      </c>
    </row>
    <row r="81" customFormat="false" ht="15" hidden="false" customHeight="false" outlineLevel="0" collapsed="false">
      <c r="A81" s="17" t="n">
        <v>44985</v>
      </c>
      <c r="B81" s="19" t="n">
        <v>0.00391667</v>
      </c>
      <c r="C81" s="14" t="n">
        <v>-0.02834813</v>
      </c>
      <c r="D81" s="14" t="n">
        <v>-0.02573814</v>
      </c>
      <c r="E81" s="14" t="n">
        <v>-0.02816034</v>
      </c>
      <c r="F81" s="6" t="n">
        <f aca="false">F80*(1+C81)</f>
        <v>696435.204483532</v>
      </c>
      <c r="G81" s="6" t="n">
        <f aca="false">G80*(1+D81)</f>
        <v>790462.516448313</v>
      </c>
      <c r="H81" s="6" t="n">
        <f aca="false">H80*(1+E81)</f>
        <v>696495.494644891</v>
      </c>
      <c r="I81" s="6" t="n">
        <f aca="false">MAX(I80,F81)</f>
        <v>785549.650385715</v>
      </c>
      <c r="J81" s="6" t="n">
        <f aca="false">MAX(J80,G81)</f>
        <v>918453.526222184</v>
      </c>
      <c r="K81" s="6" t="n">
        <f aca="false">MAX(K80,H81)</f>
        <v>800227.980210409</v>
      </c>
      <c r="L81" s="14" t="n">
        <f aca="false">F81/I81-1</f>
        <v>-0.113442155894827</v>
      </c>
      <c r="M81" s="14" t="n">
        <f aca="false">G81/J81-1</f>
        <v>-0.139354911402353</v>
      </c>
      <c r="N81" s="14" t="n">
        <f aca="false">H81/K81-1</f>
        <v>-0.129628665993711</v>
      </c>
    </row>
    <row r="82" customFormat="false" ht="15" hidden="false" customHeight="false" outlineLevel="0" collapsed="false">
      <c r="A82" s="17" t="n">
        <v>45016</v>
      </c>
      <c r="B82" s="19" t="n">
        <v>0.00406667</v>
      </c>
      <c r="C82" s="14" t="n">
        <v>0.02743577</v>
      </c>
      <c r="D82" s="14" t="n">
        <v>0.03287776</v>
      </c>
      <c r="E82" s="14" t="n">
        <v>0.02815419</v>
      </c>
      <c r="F82" s="6" t="n">
        <f aca="false">F81*(1+C82)</f>
        <v>715542.440573645</v>
      </c>
      <c r="G82" s="6" t="n">
        <f aca="false">G81*(1+D82)</f>
        <v>816451.153353097</v>
      </c>
      <c r="H82" s="6" t="n">
        <f aca="false">H81*(1+E82)</f>
        <v>716104.761135267</v>
      </c>
      <c r="I82" s="6" t="n">
        <f aca="false">MAX(I81,F82)</f>
        <v>785549.650385715</v>
      </c>
      <c r="J82" s="6" t="n">
        <f aca="false">MAX(J81,G82)</f>
        <v>918453.526222184</v>
      </c>
      <c r="K82" s="6" t="n">
        <f aca="false">MAX(K81,H82)</f>
        <v>800227.980210409</v>
      </c>
      <c r="L82" s="14" t="n">
        <f aca="false">F82/I82-1</f>
        <v>-0.0891187587922612</v>
      </c>
      <c r="M82" s="14" t="n">
        <f aca="false">G82/J82-1</f>
        <v>-0.111058828734261</v>
      </c>
      <c r="N82" s="14" t="n">
        <f aca="false">H82/K82-1</f>
        <v>-0.105124066085545</v>
      </c>
    </row>
    <row r="83" customFormat="false" ht="15" hidden="false" customHeight="false" outlineLevel="0" collapsed="false">
      <c r="A83" s="17" t="n">
        <v>45046</v>
      </c>
      <c r="B83" s="19" t="n">
        <v>0.00404167</v>
      </c>
      <c r="C83" s="14" t="n">
        <v>0.01093059</v>
      </c>
      <c r="D83" s="14" t="n">
        <v>0.01188707</v>
      </c>
      <c r="E83" s="14" t="n">
        <v>0.01120753</v>
      </c>
      <c r="F83" s="6" t="n">
        <f aca="false">F82*(1+C83)</f>
        <v>723363.741619155</v>
      </c>
      <c r="G83" s="6" t="n">
        <f aca="false">G82*(1+D83)</f>
        <v>826156.365364586</v>
      </c>
      <c r="H83" s="6" t="n">
        <f aca="false">H82*(1+E83)</f>
        <v>724130.526728834</v>
      </c>
      <c r="I83" s="6" t="n">
        <f aca="false">MAX(I82,F83)</f>
        <v>785549.650385715</v>
      </c>
      <c r="J83" s="6" t="n">
        <f aca="false">MAX(J82,G83)</f>
        <v>918453.526222184</v>
      </c>
      <c r="K83" s="6" t="n">
        <f aca="false">MAX(K82,H83)</f>
        <v>800227.980210409</v>
      </c>
      <c r="L83" s="14" t="n">
        <f aca="false">F83/I83-1</f>
        <v>-0.0791622894059281</v>
      </c>
      <c r="M83" s="14" t="n">
        <f aca="false">G83/J83-1</f>
        <v>-0.100491922805543</v>
      </c>
      <c r="N83" s="14" t="n">
        <f aca="false">H83/K83-1</f>
        <v>-0.0950947172099208</v>
      </c>
    </row>
    <row r="84" customFormat="false" ht="15" hidden="false" customHeight="false" outlineLevel="0" collapsed="false">
      <c r="A84" s="17" t="n">
        <v>45077</v>
      </c>
      <c r="B84" s="19" t="n">
        <v>0.00425</v>
      </c>
      <c r="C84" s="14" t="n">
        <v>-0.01218879</v>
      </c>
      <c r="D84" s="14" t="n">
        <v>-0.00176845</v>
      </c>
      <c r="E84" s="14" t="n">
        <v>-0.01151033</v>
      </c>
      <c r="F84" s="6" t="n">
        <f aca="false">F83*(1+C84)</f>
        <v>714546.812878945</v>
      </c>
      <c r="G84" s="6" t="n">
        <f aca="false">G83*(1+D84)</f>
        <v>824695.349140257</v>
      </c>
      <c r="H84" s="6" t="n">
        <f aca="false">H83*(1+E84)</f>
        <v>715795.545403111</v>
      </c>
      <c r="I84" s="6" t="n">
        <f aca="false">MAX(I83,F84)</f>
        <v>785549.650385715</v>
      </c>
      <c r="J84" s="6" t="n">
        <f aca="false">MAX(J83,G84)</f>
        <v>918453.526222184</v>
      </c>
      <c r="K84" s="6" t="n">
        <f aca="false">MAX(K83,H84)</f>
        <v>800227.980210409</v>
      </c>
      <c r="L84" s="14" t="n">
        <f aca="false">F84/I84-1</f>
        <v>-0.09038618688444</v>
      </c>
      <c r="M84" s="14" t="n">
        <f aca="false">G84/J84-1</f>
        <v>-0.102082657864658</v>
      </c>
      <c r="N84" s="14" t="n">
        <f aca="false">H84/K84-1</f>
        <v>-0.105510475633578</v>
      </c>
    </row>
    <row r="85" customFormat="false" ht="15" hidden="false" customHeight="false" outlineLevel="0" collapsed="false">
      <c r="A85" s="17" t="n">
        <v>45107</v>
      </c>
      <c r="B85" s="19" t="n">
        <v>0.0046</v>
      </c>
      <c r="C85" s="14" t="n">
        <v>0.02448275</v>
      </c>
      <c r="D85" s="14" t="n">
        <v>0.03781384</v>
      </c>
      <c r="E85" s="14" t="n">
        <v>0.03292532</v>
      </c>
      <c r="F85" s="6" t="n">
        <f aca="false">F84*(1+C85)</f>
        <v>732040.883861957</v>
      </c>
      <c r="G85" s="6" t="n">
        <f aca="false">G84*(1+D85)</f>
        <v>855880.247121391</v>
      </c>
      <c r="H85" s="6" t="n">
        <f aca="false">H84*(1+E85)</f>
        <v>739363.342790083</v>
      </c>
      <c r="I85" s="6" t="n">
        <f aca="false">MAX(I84,F85)</f>
        <v>785549.650385715</v>
      </c>
      <c r="J85" s="6" t="n">
        <f aca="false">MAX(J84,G85)</f>
        <v>918453.526222184</v>
      </c>
      <c r="K85" s="6" t="n">
        <f aca="false">MAX(K84,H85)</f>
        <v>800227.980210409</v>
      </c>
      <c r="L85" s="14" t="n">
        <f aca="false">F85/I85-1</f>
        <v>-0.0681163393013851</v>
      </c>
      <c r="M85" s="14" t="n">
        <f aca="false">G85/J85-1</f>
        <v>-0.0681289551559265</v>
      </c>
      <c r="N85" s="14" t="n">
        <f aca="false">H85/K85-1</f>
        <v>-0.0760591218071657</v>
      </c>
    </row>
    <row r="86" customFormat="false" ht="15" hidden="false" customHeight="false" outlineLevel="0" collapsed="false">
      <c r="A86" s="17" t="n">
        <v>45138</v>
      </c>
      <c r="B86" s="19" t="n">
        <v>0.004525</v>
      </c>
      <c r="C86" s="14" t="n">
        <v>0.01906353</v>
      </c>
      <c r="D86" s="14" t="n">
        <v>0.01957863</v>
      </c>
      <c r="E86" s="14" t="n">
        <v>0.02223616</v>
      </c>
      <c r="F86" s="6" t="n">
        <f aca="false">F85*(1+C86)</f>
        <v>745996.167212686</v>
      </c>
      <c r="G86" s="6" t="n">
        <f aca="false">G85*(1+D86)</f>
        <v>872637.209804089</v>
      </c>
      <c r="H86" s="6" t="n">
        <f aca="false">H85*(1+E86)</f>
        <v>755803.944378498</v>
      </c>
      <c r="I86" s="6" t="n">
        <f aca="false">MAX(I85,F86)</f>
        <v>785549.650385715</v>
      </c>
      <c r="J86" s="6" t="n">
        <f aca="false">MAX(J85,G86)</f>
        <v>918453.526222184</v>
      </c>
      <c r="K86" s="6" t="n">
        <f aca="false">MAX(K85,H86)</f>
        <v>800227.980210409</v>
      </c>
      <c r="L86" s="14" t="n">
        <f aca="false">F86/I86-1</f>
        <v>-0.0503513471791471</v>
      </c>
      <c r="M86" s="14" t="n">
        <f aca="false">G86/J86-1</f>
        <v>-0.049884196761211</v>
      </c>
      <c r="N86" s="14" t="n">
        <f aca="false">H86/K86-1</f>
        <v>-0.0555142246091293</v>
      </c>
    </row>
    <row r="87" customFormat="false" ht="15" hidden="false" customHeight="false" outlineLevel="0" collapsed="false">
      <c r="A87" s="17" t="n">
        <v>45169</v>
      </c>
      <c r="B87" s="19" t="n">
        <v>0.004625</v>
      </c>
      <c r="C87" s="14" t="n">
        <v>-0.01715564</v>
      </c>
      <c r="D87" s="14" t="n">
        <v>-0.01235333</v>
      </c>
      <c r="E87" s="14" t="n">
        <v>-0.01934887</v>
      </c>
      <c r="F87" s="6" t="n">
        <f aca="false">F86*(1+C87)</f>
        <v>733198.125526605</v>
      </c>
      <c r="G87" s="6" t="n">
        <f aca="false">G86*(1+D87)</f>
        <v>861857.2343811</v>
      </c>
      <c r="H87" s="6" t="n">
        <f aca="false">H86*(1+E87)</f>
        <v>741179.992113231</v>
      </c>
      <c r="I87" s="6" t="n">
        <f aca="false">MAX(I86,F87)</f>
        <v>785549.650385715</v>
      </c>
      <c r="J87" s="6" t="n">
        <f aca="false">MAX(J86,G87)</f>
        <v>918453.526222184</v>
      </c>
      <c r="K87" s="6" t="n">
        <f aca="false">MAX(K86,H87)</f>
        <v>800227.980210409</v>
      </c>
      <c r="L87" s="14" t="n">
        <f aca="false">F87/I87-1</f>
        <v>-0.0666431775934268</v>
      </c>
      <c r="M87" s="14" t="n">
        <f aca="false">G87/J87-1</f>
        <v>-0.0616212908168349</v>
      </c>
      <c r="N87" s="14" t="n">
        <f aca="false">H87/K87-1</f>
        <v>-0.0737889570940163</v>
      </c>
    </row>
    <row r="88" customFormat="false" ht="15" hidden="false" customHeight="false" outlineLevel="0" collapsed="false">
      <c r="A88" s="17" t="n">
        <v>45199</v>
      </c>
      <c r="B88" s="19" t="n">
        <v>0.00463333</v>
      </c>
      <c r="C88" s="14" t="n">
        <v>-0.03197196</v>
      </c>
      <c r="D88" s="14" t="n">
        <v>-0.03893417</v>
      </c>
      <c r="E88" s="14" t="n">
        <v>-0.03477234</v>
      </c>
      <c r="F88" s="6" t="n">
        <f aca="false">F87*(1+C88)</f>
        <v>709756.344385193</v>
      </c>
      <c r="G88" s="6" t="n">
        <f aca="false">G87*(1+D88)</f>
        <v>828301.538301976</v>
      </c>
      <c r="H88" s="6" t="n">
        <f aca="false">H87*(1+E88)</f>
        <v>715407.429426273</v>
      </c>
      <c r="I88" s="6" t="n">
        <f aca="false">MAX(I87,F88)</f>
        <v>785549.650385715</v>
      </c>
      <c r="J88" s="6" t="n">
        <f aca="false">MAX(J87,G88)</f>
        <v>918453.526222184</v>
      </c>
      <c r="K88" s="6" t="n">
        <f aca="false">MAX(K87,H88)</f>
        <v>800227.980210409</v>
      </c>
      <c r="L88" s="14" t="n">
        <f aca="false">F88/I88-1</f>
        <v>-0.0964844245851368</v>
      </c>
      <c r="M88" s="14" t="n">
        <f aca="false">G88/J88-1</f>
        <v>-0.0981562870045528</v>
      </c>
      <c r="N88" s="14" t="n">
        <f aca="false">H88/K88-1</f>
        <v>-0.105995482389698</v>
      </c>
    </row>
    <row r="89" customFormat="false" ht="15" hidden="false" customHeight="false" outlineLevel="0" collapsed="false">
      <c r="A89" s="17" t="n">
        <v>45230</v>
      </c>
      <c r="B89" s="19" t="n">
        <v>0.004625</v>
      </c>
      <c r="C89" s="14" t="n">
        <v>-0.01387849</v>
      </c>
      <c r="D89" s="14" t="n">
        <v>-0.01930782</v>
      </c>
      <c r="E89" s="14" t="n">
        <v>-0.02208962</v>
      </c>
      <c r="F89" s="6" t="n">
        <f aca="false">F88*(1+C89)</f>
        <v>699905.998057207</v>
      </c>
      <c r="G89" s="6" t="n">
        <f aca="false">G88*(1+D89)</f>
        <v>812308.841294718</v>
      </c>
      <c r="H89" s="6" t="n">
        <f aca="false">H88*(1+E89)</f>
        <v>699604.35116507</v>
      </c>
      <c r="I89" s="6" t="n">
        <f aca="false">MAX(I88,F89)</f>
        <v>785549.650385715</v>
      </c>
      <c r="J89" s="6" t="n">
        <f aca="false">MAX(J88,G89)</f>
        <v>918453.526222184</v>
      </c>
      <c r="K89" s="6" t="n">
        <f aca="false">MAX(K88,H89)</f>
        <v>800227.980210409</v>
      </c>
      <c r="L89" s="14" t="n">
        <f aca="false">F89/I89-1</f>
        <v>-0.109023856463376</v>
      </c>
      <c r="M89" s="14" t="n">
        <f aca="false">G89/J89-1</f>
        <v>-0.1155689230832</v>
      </c>
      <c r="N89" s="14" t="n">
        <f aca="false">H89/K89-1</f>
        <v>-0.125743702461993</v>
      </c>
    </row>
    <row r="90" customFormat="false" ht="15" hidden="false" customHeight="false" outlineLevel="0" collapsed="false">
      <c r="A90" s="17" t="n">
        <v>45260</v>
      </c>
      <c r="B90" s="19" t="n">
        <v>0.00465833</v>
      </c>
      <c r="C90" s="14" t="n">
        <v>0.05812908</v>
      </c>
      <c r="D90" s="14" t="n">
        <v>0.07311119</v>
      </c>
      <c r="E90" s="14" t="n">
        <v>0.06860725</v>
      </c>
      <c r="F90" s="6" t="n">
        <f aca="false">F89*(1+C90)</f>
        <v>740590.889810754</v>
      </c>
      <c r="G90" s="6" t="n">
        <f aca="false">G89*(1+D90)</f>
        <v>871697.707329297</v>
      </c>
      <c r="H90" s="6" t="n">
        <f aca="false">H89*(1+E90)</f>
        <v>747602.281786539</v>
      </c>
      <c r="I90" s="6" t="n">
        <f aca="false">MAX(I89,F90)</f>
        <v>785549.650385715</v>
      </c>
      <c r="J90" s="6" t="n">
        <f aca="false">MAX(J89,G90)</f>
        <v>918453.526222184</v>
      </c>
      <c r="K90" s="6" t="n">
        <f aca="false">MAX(K89,H90)</f>
        <v>800227.980210409</v>
      </c>
      <c r="L90" s="14" t="n">
        <f aca="false">F90/I90-1</f>
        <v>-0.0572322329376443</v>
      </c>
      <c r="M90" s="14" t="n">
        <f aca="false">G90/J90-1</f>
        <v>-0.0509071145768316</v>
      </c>
      <c r="N90" s="14" t="n">
        <f aca="false">H90/K90-1</f>
        <v>-0.0657633820927285</v>
      </c>
    </row>
    <row r="91" customFormat="false" ht="15" hidden="false" customHeight="false" outlineLevel="0" collapsed="false">
      <c r="A91" s="17" t="n">
        <v>45291</v>
      </c>
      <c r="B91" s="19" t="n">
        <v>0.00454167</v>
      </c>
      <c r="C91" s="14" t="n">
        <v>0.03870108</v>
      </c>
      <c r="D91" s="14" t="n">
        <v>0.04224823</v>
      </c>
      <c r="E91" s="14" t="n">
        <v>0.04507987</v>
      </c>
      <c r="F91" s="6" t="n">
        <f aca="false">F90*(1+C91)</f>
        <v>769252.557084592</v>
      </c>
      <c r="G91" s="6" t="n">
        <f aca="false">G90*(1+D91)</f>
        <v>908525.392559017</v>
      </c>
      <c r="H91" s="6" t="n">
        <f aca="false">H90*(1+E91)</f>
        <v>781304.09546118</v>
      </c>
      <c r="I91" s="6" t="n">
        <f aca="false">MAX(I90,F91)</f>
        <v>785549.650385715</v>
      </c>
      <c r="J91" s="6" t="n">
        <f aca="false">MAX(J90,G91)</f>
        <v>918453.526222184</v>
      </c>
      <c r="K91" s="6" t="n">
        <f aca="false">MAX(K90,H91)</f>
        <v>800227.980210409</v>
      </c>
      <c r="L91" s="14" t="n">
        <f aca="false">F91/I91-1</f>
        <v>-0.0207461021631427</v>
      </c>
      <c r="M91" s="14" t="n">
        <f aca="false">G91/J91-1</f>
        <v>-0.0108096200621101</v>
      </c>
      <c r="N91" s="14" t="n">
        <f aca="false">H91/K91-1</f>
        <v>-0.0236481168082291</v>
      </c>
    </row>
    <row r="92" customFormat="false" ht="15" hidden="false" customHeight="false" outlineLevel="0" collapsed="false">
      <c r="A92" s="17" t="n">
        <v>45322</v>
      </c>
      <c r="B92" s="19" t="n">
        <v>0.0045</v>
      </c>
      <c r="C92" s="14" t="n">
        <v>-0.00246387</v>
      </c>
      <c r="D92" s="14" t="n">
        <v>0.0089513</v>
      </c>
      <c r="E92" s="14" t="n">
        <v>-0.00018799</v>
      </c>
      <c r="F92" s="6" t="n">
        <f aca="false">F91*(1+C92)</f>
        <v>767357.218786768</v>
      </c>
      <c r="G92" s="6" t="n">
        <f aca="false">G91*(1+D92)</f>
        <v>916657.875905431</v>
      </c>
      <c r="H92" s="6" t="n">
        <f aca="false">H91*(1+E92)</f>
        <v>781157.218104274</v>
      </c>
      <c r="I92" s="6" t="n">
        <f aca="false">MAX(I91,F92)</f>
        <v>785549.650385715</v>
      </c>
      <c r="J92" s="6" t="n">
        <f aca="false">MAX(J91,G92)</f>
        <v>918453.526222184</v>
      </c>
      <c r="K92" s="6" t="n">
        <f aca="false">MAX(K91,H92)</f>
        <v>800227.980210409</v>
      </c>
      <c r="L92" s="14" t="n">
        <f aca="false">F92/I92-1</f>
        <v>-0.023158856464406</v>
      </c>
      <c r="M92" s="14" t="n">
        <f aca="false">G92/J92-1</f>
        <v>-0.0019550802141719</v>
      </c>
      <c r="N92" s="14" t="n">
        <f aca="false">H92/K92-1</f>
        <v>-0.0238316611987502</v>
      </c>
    </row>
    <row r="93" customFormat="false" ht="15" hidden="false" customHeight="false" outlineLevel="0" collapsed="false">
      <c r="A93" s="17" t="n">
        <v>45351</v>
      </c>
      <c r="B93" s="19" t="n">
        <v>0.00451667</v>
      </c>
      <c r="C93" s="14" t="n">
        <v>0.01702934</v>
      </c>
      <c r="D93" s="14" t="n">
        <v>0.0256915</v>
      </c>
      <c r="E93" s="14" t="n">
        <v>0.02237685</v>
      </c>
      <c r="F93" s="6" t="n">
        <f aca="false">F92*(1+C93)</f>
        <v>780424.805766942</v>
      </c>
      <c r="G93" s="6" t="n">
        <f aca="false">G92*(1+D93)</f>
        <v>940208.191724255</v>
      </c>
      <c r="H93" s="6" t="n">
        <f aca="false">H92*(1+E93)</f>
        <v>798637.056000211</v>
      </c>
      <c r="I93" s="6" t="n">
        <f aca="false">MAX(I92,F93)</f>
        <v>785549.650385715</v>
      </c>
      <c r="J93" s="6" t="n">
        <f aca="false">MAX(J92,G93)</f>
        <v>940208.191724255</v>
      </c>
      <c r="K93" s="6" t="n">
        <f aca="false">MAX(K92,H93)</f>
        <v>800227.980210409</v>
      </c>
      <c r="L93" s="14" t="n">
        <f aca="false">F93/I93-1</f>
        <v>-0.00652389650514962</v>
      </c>
      <c r="M93" s="14" t="n">
        <f aca="false">G93/J93-1</f>
        <v>0</v>
      </c>
      <c r="N93" s="14" t="n">
        <f aca="false">H93/K93-1</f>
        <v>-0.00198808870664557</v>
      </c>
    </row>
    <row r="94" customFormat="false" ht="15" hidden="false" customHeight="false" outlineLevel="0" collapsed="false">
      <c r="A94" s="17" t="n">
        <v>45382</v>
      </c>
      <c r="B94" s="19" t="n">
        <v>0.00454167</v>
      </c>
      <c r="C94" s="14" t="n">
        <v>0.02367783</v>
      </c>
      <c r="D94" s="14" t="n">
        <v>0.02367304</v>
      </c>
      <c r="E94" s="14" t="n">
        <v>0.02391014</v>
      </c>
      <c r="F94" s="6" t="n">
        <f aca="false">F93*(1+C94)</f>
        <v>798903.571645674</v>
      </c>
      <c r="G94" s="6" t="n">
        <f aca="false">G93*(1+D94)</f>
        <v>962465.777855271</v>
      </c>
      <c r="H94" s="6" t="n">
        <f aca="false">H93*(1+E94)</f>
        <v>817732.579818363</v>
      </c>
      <c r="I94" s="6" t="n">
        <f aca="false">MAX(I93,F94)</f>
        <v>798903.571645674</v>
      </c>
      <c r="J94" s="6" t="n">
        <f aca="false">MAX(J93,G94)</f>
        <v>962465.777855271</v>
      </c>
      <c r="K94" s="6" t="n">
        <f aca="false">MAX(K93,H94)</f>
        <v>817732.579818363</v>
      </c>
      <c r="L94" s="14" t="n">
        <f aca="false">F94/I94-1</f>
        <v>0</v>
      </c>
      <c r="M94" s="14" t="n">
        <f aca="false">G94/J94-1</f>
        <v>0</v>
      </c>
      <c r="N94" s="14" t="n">
        <f aca="false">H94/K94-1</f>
        <v>0</v>
      </c>
    </row>
    <row r="95" customFormat="false" ht="15" hidden="false" customHeight="false" outlineLevel="0" collapsed="false">
      <c r="A95" s="17" t="n">
        <v>45412</v>
      </c>
      <c r="B95" s="19" t="n">
        <v>0.00455</v>
      </c>
      <c r="C95" s="14" t="n">
        <v>-0.02306255</v>
      </c>
      <c r="D95" s="14" t="n">
        <v>-0.0341048</v>
      </c>
      <c r="E95" s="14" t="n">
        <v>-0.03008513</v>
      </c>
      <c r="F95" s="6" t="n">
        <f aca="false">F94*(1+C95)</f>
        <v>780478.818079417</v>
      </c>
      <c r="G95" s="6" t="n">
        <f aca="false">G94*(1+D95)</f>
        <v>929641.074994673</v>
      </c>
      <c r="H95" s="6" t="n">
        <f aca="false">H94*(1+E95)</f>
        <v>793130.988849293</v>
      </c>
      <c r="I95" s="6" t="n">
        <f aca="false">MAX(I94,F95)</f>
        <v>798903.571645674</v>
      </c>
      <c r="J95" s="6" t="n">
        <f aca="false">MAX(J94,G95)</f>
        <v>962465.777855271</v>
      </c>
      <c r="K95" s="6" t="n">
        <f aca="false">MAX(K94,H95)</f>
        <v>817732.579818363</v>
      </c>
      <c r="L95" s="14" t="n">
        <f aca="false">F95/I95-1</f>
        <v>-0.02306255</v>
      </c>
      <c r="M95" s="14" t="n">
        <f aca="false">G95/J95-1</f>
        <v>-0.0341048</v>
      </c>
      <c r="N95" s="14" t="n">
        <f aca="false">H95/K95-1</f>
        <v>-0.0300851300000001</v>
      </c>
    </row>
    <row r="96" customFormat="false" ht="15" hidden="false" customHeight="false" outlineLevel="0" collapsed="false">
      <c r="A96" s="17" t="n">
        <v>45443</v>
      </c>
      <c r="B96" s="19" t="n">
        <v>0.00455</v>
      </c>
      <c r="C96" s="14" t="n">
        <v>0.02386517</v>
      </c>
      <c r="D96" s="14" t="n">
        <v>0.03689544</v>
      </c>
      <c r="E96" s="14" t="n">
        <v>0.03458546</v>
      </c>
      <c r="F96" s="6" t="n">
        <f aca="false">F95*(1+C96)</f>
        <v>799105.077754282</v>
      </c>
      <c r="G96" s="6" t="n">
        <f aca="false">G95*(1+D96)</f>
        <v>963940.591498674</v>
      </c>
      <c r="H96" s="6" t="n">
        <f aca="false">H95*(1+E96)</f>
        <v>820561.7889389</v>
      </c>
      <c r="I96" s="6" t="n">
        <f aca="false">MAX(I95,F96)</f>
        <v>799105.077754282</v>
      </c>
      <c r="J96" s="6" t="n">
        <f aca="false">MAX(J95,G96)</f>
        <v>963940.591498674</v>
      </c>
      <c r="K96" s="6" t="n">
        <f aca="false">MAX(K95,H96)</f>
        <v>820561.7889389</v>
      </c>
      <c r="L96" s="14" t="n">
        <f aca="false">F96/I96-1</f>
        <v>0</v>
      </c>
      <c r="M96" s="14" t="n">
        <f aca="false">G96/J96-1</f>
        <v>0</v>
      </c>
      <c r="N96" s="14" t="n">
        <f aca="false">H96/K96-1</f>
        <v>0</v>
      </c>
    </row>
    <row r="97" customFormat="false" ht="15" hidden="false" customHeight="false" outlineLevel="0" collapsed="false">
      <c r="A97" s="17" t="n">
        <v>45473</v>
      </c>
      <c r="B97" s="19" t="n">
        <v>0.00455</v>
      </c>
      <c r="C97" s="14" t="n">
        <v>0.01223135</v>
      </c>
      <c r="D97" s="14" t="n">
        <v>0.02480525</v>
      </c>
      <c r="E97" s="14" t="n">
        <v>0.0122215</v>
      </c>
      <c r="F97" s="6" t="n">
        <f aca="false">F96*(1+C97)</f>
        <v>808879.211647072</v>
      </c>
      <c r="G97" s="6" t="n">
        <f aca="false">G96*(1+D97)</f>
        <v>987851.378855947</v>
      </c>
      <c r="H97" s="6" t="n">
        <f aca="false">H96*(1+E97)</f>
        <v>830590.284842417</v>
      </c>
      <c r="I97" s="6" t="n">
        <f aca="false">MAX(I96,F97)</f>
        <v>808879.211647072</v>
      </c>
      <c r="J97" s="6" t="n">
        <f aca="false">MAX(J96,G97)</f>
        <v>987851.378855947</v>
      </c>
      <c r="K97" s="6" t="n">
        <f aca="false">MAX(K96,H97)</f>
        <v>830590.284842417</v>
      </c>
      <c r="L97" s="14" t="n">
        <f aca="false">F97/I97-1</f>
        <v>0</v>
      </c>
      <c r="M97" s="14" t="n">
        <f aca="false">G97/J97-1</f>
        <v>0</v>
      </c>
      <c r="N97" s="14" t="n">
        <f aca="false">H97/K97-1</f>
        <v>0</v>
      </c>
    </row>
    <row r="98" customFormat="false" ht="15" hidden="false" customHeight="false" outlineLevel="0" collapsed="false">
      <c r="A98" s="17" t="n">
        <v>45504</v>
      </c>
      <c r="B98" s="19" t="n">
        <v>0.00456667</v>
      </c>
      <c r="C98" s="14" t="n">
        <v>0.02513597</v>
      </c>
      <c r="D98" s="14" t="n">
        <v>0.01694233</v>
      </c>
      <c r="E98" s="14" t="n">
        <v>0.02101289</v>
      </c>
      <c r="F98" s="6" t="n">
        <f aca="false">F97*(1+C98)</f>
        <v>829211.175244656</v>
      </c>
      <c r="G98" s="6" t="n">
        <f aca="false">G97*(1+D98)</f>
        <v>1004587.88290748</v>
      </c>
      <c r="H98" s="6" t="n">
        <f aca="false">H97*(1+E98)</f>
        <v>848043.387132879</v>
      </c>
      <c r="I98" s="6" t="n">
        <f aca="false">MAX(I97,F98)</f>
        <v>829211.175244656</v>
      </c>
      <c r="J98" s="6" t="n">
        <f aca="false">MAX(J97,G98)</f>
        <v>1004587.88290748</v>
      </c>
      <c r="K98" s="6" t="n">
        <f aca="false">MAX(K97,H98)</f>
        <v>848043.387132879</v>
      </c>
      <c r="L98" s="14" t="n">
        <f aca="false">F98/I98-1</f>
        <v>0</v>
      </c>
      <c r="M98" s="14" t="n">
        <f aca="false">G98/J98-1</f>
        <v>0</v>
      </c>
      <c r="N98" s="14" t="n">
        <f aca="false">H98/K98-1</f>
        <v>0</v>
      </c>
    </row>
    <row r="99" customFormat="false" ht="15" hidden="false" customHeight="false" outlineLevel="0" collapsed="false">
      <c r="A99" s="17" t="n">
        <v>45535</v>
      </c>
      <c r="B99" s="19" t="n">
        <v>0.00450833</v>
      </c>
      <c r="C99" s="14" t="n">
        <v>0.01755058</v>
      </c>
      <c r="D99" s="14" t="n">
        <v>0.01984018</v>
      </c>
      <c r="E99" s="14" t="n">
        <v>0.01980025</v>
      </c>
      <c r="F99" s="6" t="n">
        <f aca="false">F98*(1+C99)</f>
        <v>843764.312312681</v>
      </c>
      <c r="G99" s="6" t="n">
        <f aca="false">G98*(1+D99)</f>
        <v>1024519.08733018</v>
      </c>
      <c r="H99" s="6" t="n">
        <f aca="false">H98*(1+E99)</f>
        <v>864834.858208957</v>
      </c>
      <c r="I99" s="6" t="n">
        <f aca="false">MAX(I98,F99)</f>
        <v>843764.312312681</v>
      </c>
      <c r="J99" s="6" t="n">
        <f aca="false">MAX(J98,G99)</f>
        <v>1024519.08733018</v>
      </c>
      <c r="K99" s="6" t="n">
        <f aca="false">MAX(K98,H99)</f>
        <v>864834.858208957</v>
      </c>
      <c r="L99" s="14" t="n">
        <f aca="false">F99/I99-1</f>
        <v>0</v>
      </c>
      <c r="M99" s="14" t="n">
        <f aca="false">G99/J99-1</f>
        <v>0</v>
      </c>
      <c r="N99" s="14" t="n">
        <f aca="false">H99/K99-1</f>
        <v>0</v>
      </c>
    </row>
    <row r="100" customFormat="false" ht="15" hidden="false" customHeight="false" outlineLevel="0" collapsed="false">
      <c r="A100" s="17" t="n">
        <v>45565</v>
      </c>
      <c r="B100" s="19" t="n">
        <v>0.00434167</v>
      </c>
      <c r="C100" s="14" t="n">
        <v>0.02064876</v>
      </c>
      <c r="D100" s="14" t="n">
        <v>0.01792694</v>
      </c>
      <c r="E100" s="14" t="n">
        <v>0.01786941</v>
      </c>
      <c r="F100" s="6" t="n">
        <f aca="false">F99*(1+C100)</f>
        <v>861186.999094191</v>
      </c>
      <c r="G100" s="6" t="n">
        <f aca="false">G99*(1+D100)</f>
        <v>1042885.57953761</v>
      </c>
      <c r="H100" s="6" t="n">
        <f aca="false">H99*(1+E100)</f>
        <v>880288.946872585</v>
      </c>
      <c r="I100" s="6" t="n">
        <f aca="false">MAX(I99,F100)</f>
        <v>861186.999094191</v>
      </c>
      <c r="J100" s="6" t="n">
        <f aca="false">MAX(J99,G100)</f>
        <v>1042885.57953761</v>
      </c>
      <c r="K100" s="6" t="n">
        <f aca="false">MAX(K99,H100)</f>
        <v>880288.946872585</v>
      </c>
      <c r="L100" s="14" t="n">
        <f aca="false">F100/I100-1</f>
        <v>0</v>
      </c>
      <c r="M100" s="14" t="n">
        <f aca="false">G100/J100-1</f>
        <v>0</v>
      </c>
      <c r="N100" s="14" t="n">
        <f aca="false">H100/K100-1</f>
        <v>0</v>
      </c>
    </row>
    <row r="101" customFormat="false" ht="15" hidden="false" customHeight="false" outlineLevel="0" collapsed="false">
      <c r="A101" s="17" t="n">
        <v>45596</v>
      </c>
      <c r="B101" s="19" t="n">
        <v>0.00394167</v>
      </c>
      <c r="C101" s="14" t="n">
        <v>-0.01465555</v>
      </c>
      <c r="D101" s="14" t="n">
        <v>-0.015429</v>
      </c>
      <c r="E101" s="14" t="n">
        <v>-0.02254479</v>
      </c>
      <c r="F101" s="6" t="n">
        <f aca="false">F100*(1+C101)</f>
        <v>848565.829969616</v>
      </c>
      <c r="G101" s="6" t="n">
        <f aca="false">G100*(1+D101)</f>
        <v>1026794.89793092</v>
      </c>
      <c r="H101" s="6" t="n">
        <f aca="false">H100*(1+E101)</f>
        <v>860443.017426021</v>
      </c>
      <c r="I101" s="6" t="n">
        <f aca="false">MAX(I100,F101)</f>
        <v>861186.999094191</v>
      </c>
      <c r="J101" s="6" t="n">
        <f aca="false">MAX(J100,G101)</f>
        <v>1042885.57953761</v>
      </c>
      <c r="K101" s="6" t="n">
        <f aca="false">MAX(K100,H101)</f>
        <v>880288.946872585</v>
      </c>
      <c r="L101" s="14" t="n">
        <f aca="false">F101/I101-1</f>
        <v>-0.01465555</v>
      </c>
      <c r="M101" s="14" t="n">
        <f aca="false">G101/J101-1</f>
        <v>-0.015429</v>
      </c>
      <c r="N101" s="14" t="n">
        <f aca="false">H101/K101-1</f>
        <v>-0.02254479</v>
      </c>
    </row>
    <row r="102" customFormat="false" ht="15" hidden="false" customHeight="false" outlineLevel="0" collapsed="false">
      <c r="A102" s="17" t="n">
        <v>45626</v>
      </c>
      <c r="B102" s="19" t="n">
        <v>0.00386667</v>
      </c>
      <c r="C102" s="14" t="n">
        <v>0.01873942</v>
      </c>
      <c r="D102" s="14" t="n">
        <v>0.04041622</v>
      </c>
      <c r="E102" s="14" t="n">
        <v>0.02689103</v>
      </c>
      <c r="F102" s="6" t="n">
        <f aca="false">F101*(1+C102)</f>
        <v>864467.461455065</v>
      </c>
      <c r="G102" s="6" t="n">
        <f aca="false">G101*(1+D102)</f>
        <v>1068294.06642057</v>
      </c>
      <c r="H102" s="6" t="n">
        <f aca="false">H101*(1+E102)</f>
        <v>883581.216420915</v>
      </c>
      <c r="I102" s="6" t="n">
        <f aca="false">MAX(I101,F102)</f>
        <v>864467.461455065</v>
      </c>
      <c r="J102" s="6" t="n">
        <f aca="false">MAX(J101,G102)</f>
        <v>1068294.06642057</v>
      </c>
      <c r="K102" s="6" t="n">
        <f aca="false">MAX(K101,H102)</f>
        <v>883581.216420915</v>
      </c>
      <c r="L102" s="14" t="n">
        <f aca="false">F102/I102-1</f>
        <v>0</v>
      </c>
      <c r="M102" s="14" t="n">
        <f aca="false">G102/J102-1</f>
        <v>0</v>
      </c>
      <c r="N102" s="14" t="n">
        <f aca="false">H102/K102-1</f>
        <v>0</v>
      </c>
    </row>
    <row r="103" customFormat="false" ht="15" hidden="false" customHeight="false" outlineLevel="0" collapsed="false">
      <c r="A103" s="17" t="n">
        <v>45657</v>
      </c>
      <c r="B103" s="19" t="n">
        <v>0.00381667</v>
      </c>
      <c r="C103" s="14" t="n">
        <v>-0.01970748</v>
      </c>
      <c r="D103" s="14" t="n">
        <v>-0.02133055</v>
      </c>
      <c r="E103" s="14" t="n">
        <v>-0.0212962</v>
      </c>
      <c r="F103" s="6" t="n">
        <f aca="false">F102*(1+C103)</f>
        <v>847430.986247789</v>
      </c>
      <c r="G103" s="6" t="n">
        <f aca="false">G102*(1+D103)</f>
        <v>1045506.76642209</v>
      </c>
      <c r="H103" s="6" t="n">
        <f aca="false">H102*(1+E103)</f>
        <v>864764.294119772</v>
      </c>
      <c r="I103" s="6" t="n">
        <f aca="false">MAX(I102,F103)</f>
        <v>864467.461455065</v>
      </c>
      <c r="J103" s="6" t="n">
        <f aca="false">MAX(J102,G103)</f>
        <v>1068294.06642057</v>
      </c>
      <c r="K103" s="6" t="n">
        <f aca="false">MAX(K102,H103)</f>
        <v>883581.216420915</v>
      </c>
      <c r="L103" s="14" t="n">
        <f aca="false">F103/I103-1</f>
        <v>-0.0197074800000001</v>
      </c>
      <c r="M103" s="14" t="n">
        <f aca="false">G103/J103-1</f>
        <v>-0.0213305499999999</v>
      </c>
      <c r="N103" s="14" t="n">
        <f aca="false">H103/K103-1</f>
        <v>-0.0212962</v>
      </c>
    </row>
    <row r="104" customFormat="false" ht="15" hidden="false" customHeight="false" outlineLevel="0" collapsed="false">
      <c r="A104" s="17" t="n">
        <v>45688</v>
      </c>
      <c r="B104" s="19" t="n">
        <v>0.00364167</v>
      </c>
      <c r="C104" s="14" t="n">
        <v>0.02317435</v>
      </c>
      <c r="D104" s="14" t="n">
        <v>0.01817785</v>
      </c>
      <c r="E104" s="14" t="n">
        <v>0.02058607</v>
      </c>
      <c r="F104" s="6" t="n">
        <f aca="false">F103*(1+C104)</f>
        <v>867069.64852394</v>
      </c>
      <c r="G104" s="6" t="n">
        <f aca="false">G103*(1+D104)</f>
        <v>1064511.83159609</v>
      </c>
      <c r="H104" s="6" t="n">
        <f aca="false">H103*(1+E104)</f>
        <v>882566.392412022</v>
      </c>
      <c r="I104" s="6" t="n">
        <f aca="false">MAX(I103,F104)</f>
        <v>867069.64852394</v>
      </c>
      <c r="J104" s="6" t="n">
        <f aca="false">MAX(J103,G104)</f>
        <v>1068294.06642057</v>
      </c>
      <c r="K104" s="6" t="n">
        <f aca="false">MAX(K103,H104)</f>
        <v>883581.216420915</v>
      </c>
      <c r="L104" s="14" t="n">
        <f aca="false">F104/I104-1</f>
        <v>0</v>
      </c>
      <c r="M104" s="14" t="n">
        <f aca="false">G104/J104-1</f>
        <v>-0.00354044353831751</v>
      </c>
      <c r="N104" s="14" t="n">
        <f aca="false">H104/K104-1</f>
        <v>-0.00114853506393398</v>
      </c>
    </row>
    <row r="105" customFormat="false" ht="15" hidden="false" customHeight="false" outlineLevel="0" collapsed="false">
      <c r="A105" s="17" t="n">
        <v>45716</v>
      </c>
      <c r="B105" s="19" t="n">
        <v>0.00359167</v>
      </c>
      <c r="C105" s="14" t="n">
        <v>0.0077067</v>
      </c>
      <c r="D105" s="14" t="n">
        <v>0.00115328</v>
      </c>
      <c r="E105" s="14" t="n">
        <v>0.00529926</v>
      </c>
      <c r="F105" s="6" t="n">
        <f aca="false">F104*(1+C105)</f>
        <v>873751.89418422</v>
      </c>
      <c r="G105" s="6" t="n">
        <f aca="false">G104*(1+D105)</f>
        <v>1065739.51180123</v>
      </c>
      <c r="H105" s="6" t="n">
        <f aca="false">H104*(1+E105)</f>
        <v>887243.341192676</v>
      </c>
      <c r="I105" s="6" t="n">
        <f aca="false">MAX(I104,F105)</f>
        <v>873751.89418422</v>
      </c>
      <c r="J105" s="6" t="n">
        <f aca="false">MAX(J104,G105)</f>
        <v>1068294.06642057</v>
      </c>
      <c r="K105" s="6" t="n">
        <f aca="false">MAX(K104,H105)</f>
        <v>887243.341192676</v>
      </c>
      <c r="L105" s="14" t="n">
        <f aca="false">F105/I105-1</f>
        <v>0</v>
      </c>
      <c r="M105" s="14" t="n">
        <f aca="false">G105/J105-1</f>
        <v>-0.00239124666104129</v>
      </c>
      <c r="N105" s="14" t="n">
        <f aca="false">H105/K105-1</f>
        <v>0</v>
      </c>
    </row>
    <row r="106" customFormat="false" ht="15" hidden="false" customHeight="false" outlineLevel="0" collapsed="false">
      <c r="A106" s="17" t="n">
        <v>45747</v>
      </c>
      <c r="B106" s="19" t="n">
        <v>0.0036</v>
      </c>
      <c r="C106" s="14" t="n">
        <v>-0.00699705</v>
      </c>
      <c r="D106" s="14" t="n">
        <v>-0.03337258</v>
      </c>
      <c r="E106" s="14" t="n">
        <v>-0.02108494</v>
      </c>
      <c r="F106" s="6" t="n">
        <f aca="false">F105*(1+C106)</f>
        <v>867638.208493018</v>
      </c>
      <c r="G106" s="6" t="n">
        <f aca="false">G105*(1+D106)</f>
        <v>1030173.03468449</v>
      </c>
      <c r="H106" s="6" t="n">
        <f aca="false">H105*(1+E106)</f>
        <v>868535.868578228</v>
      </c>
      <c r="I106" s="6" t="n">
        <f aca="false">MAX(I105,F106)</f>
        <v>873751.89418422</v>
      </c>
      <c r="J106" s="6" t="n">
        <f aca="false">MAX(J105,G106)</f>
        <v>1068294.06642057</v>
      </c>
      <c r="K106" s="6" t="n">
        <f aca="false">MAX(K105,H106)</f>
        <v>887243.341192676</v>
      </c>
      <c r="L106" s="14" t="n">
        <f aca="false">F106/I106-1</f>
        <v>-0.00699704999999984</v>
      </c>
      <c r="M106" s="14" t="n">
        <f aca="false">G106/J106-1</f>
        <v>-0.0356840245905459</v>
      </c>
      <c r="N106" s="14" t="n">
        <f aca="false">H106/K106-1</f>
        <v>-0.0210849400000001</v>
      </c>
    </row>
    <row r="107" customFormat="false" ht="15" hidden="false" customHeight="false" outlineLevel="0" collapsed="false">
      <c r="A107" s="17" t="n">
        <v>45777</v>
      </c>
      <c r="B107" s="19" t="n">
        <v>0.0036</v>
      </c>
      <c r="C107" s="14" t="n">
        <v>0.0070717</v>
      </c>
      <c r="D107" s="14" t="n">
        <v>-0.00347792</v>
      </c>
      <c r="E107" s="14" t="n">
        <v>0.00518585</v>
      </c>
      <c r="F107" s="6" t="n">
        <f aca="false">F106*(1+C107)</f>
        <v>873773.885612018</v>
      </c>
      <c r="G107" s="6" t="n">
        <f aca="false">G106*(1+D107)</f>
        <v>1026590.1752837</v>
      </c>
      <c r="H107" s="6" t="n">
        <f aca="false">H106*(1+E107)</f>
        <v>873039.965312295</v>
      </c>
      <c r="I107" s="6" t="n">
        <f aca="false">MAX(I106,F107)</f>
        <v>873773.885612018</v>
      </c>
      <c r="J107" s="6" t="n">
        <f aca="false">MAX(J106,G107)</f>
        <v>1068294.06642057</v>
      </c>
      <c r="K107" s="6" t="n">
        <f aca="false">MAX(K106,H107)</f>
        <v>887243.341192676</v>
      </c>
      <c r="L107" s="14" t="n">
        <f aca="false">F107/I107-1</f>
        <v>0</v>
      </c>
      <c r="M107" s="14" t="n">
        <f aca="false">G107/J107-1</f>
        <v>-0.039037838407742</v>
      </c>
      <c r="N107" s="14" t="n">
        <f aca="false">H107/K107-1</f>
        <v>-0.016008433336099</v>
      </c>
    </row>
    <row r="108" customFormat="false" ht="15" hidden="false" customHeight="false" outlineLevel="0" collapsed="false">
      <c r="A108" s="17" t="n">
        <v>45808</v>
      </c>
      <c r="B108" s="19" t="n">
        <v>0.00359167</v>
      </c>
      <c r="C108" s="14" t="n">
        <v>0.01996101</v>
      </c>
      <c r="D108" s="14" t="n">
        <v>0.03506395</v>
      </c>
      <c r="E108" s="14" t="n">
        <v>0.03384244</v>
      </c>
      <c r="F108" s="6" t="n">
        <f aca="false">F107*(1+C108)</f>
        <v>891215.294880459</v>
      </c>
      <c r="G108" s="6" t="n">
        <f aca="false">G107*(1+D108)</f>
        <v>1062586.48186034</v>
      </c>
      <c r="H108" s="6" t="n">
        <f aca="false">H107*(1+E108)</f>
        <v>902585.767955978</v>
      </c>
      <c r="I108" s="6" t="n">
        <f aca="false">MAX(I107,F108)</f>
        <v>891215.294880459</v>
      </c>
      <c r="J108" s="6" t="n">
        <f aca="false">MAX(J107,G108)</f>
        <v>1068294.06642057</v>
      </c>
      <c r="K108" s="6" t="n">
        <f aca="false">MAX(K107,H108)</f>
        <v>902585.767955978</v>
      </c>
      <c r="L108" s="14" t="n">
        <f aca="false">F108/I108-1</f>
        <v>0</v>
      </c>
      <c r="M108" s="14" t="n">
        <f aca="false">G108/J108-1</f>
        <v>-0.00534270922177915</v>
      </c>
      <c r="N108" s="14" t="n">
        <f aca="false">H108/K108-1</f>
        <v>0</v>
      </c>
    </row>
    <row r="109" customFormat="false" ht="15" hidden="false" customHeight="false" outlineLevel="0" collapsed="false">
      <c r="A109" s="17" t="n">
        <v>45838</v>
      </c>
      <c r="B109" s="19" t="n">
        <v>0.00363333</v>
      </c>
      <c r="C109" s="14" t="n">
        <v>0.02677251</v>
      </c>
      <c r="D109" s="14" t="n">
        <v>0.03710607</v>
      </c>
      <c r="E109" s="14" t="n">
        <v>0.03357401</v>
      </c>
      <c r="F109" s="6" t="n">
        <f aca="false">F108*(1+C109)</f>
        <v>915075.365274799</v>
      </c>
      <c r="G109" s="6" t="n">
        <f aca="false">G108*(1+D109)</f>
        <v>1102014.8902373</v>
      </c>
      <c r="H109" s="6" t="n">
        <f aca="false">H108*(1+E109)</f>
        <v>932889.19155519</v>
      </c>
      <c r="I109" s="6" t="n">
        <f aca="false">MAX(I108,F109)</f>
        <v>915075.365274799</v>
      </c>
      <c r="J109" s="6" t="n">
        <f aca="false">MAX(J108,G109)</f>
        <v>1102014.8902373</v>
      </c>
      <c r="K109" s="6" t="n">
        <f aca="false">MAX(K108,H109)</f>
        <v>932889.19155519</v>
      </c>
      <c r="L109" s="14" t="n">
        <f aca="false">F109/I109-1</f>
        <v>0</v>
      </c>
      <c r="M109" s="14" t="n">
        <f aca="false">G109/J109-1</f>
        <v>0</v>
      </c>
      <c r="N109" s="14" t="n">
        <f aca="false">H109/K109-1</f>
        <v>0</v>
      </c>
    </row>
    <row r="110" customFormat="false" ht="15" hidden="false" customHeight="false" outlineLevel="0" collapsed="false">
      <c r="A110" s="17" t="n">
        <v>45869</v>
      </c>
      <c r="B110" s="19" t="n">
        <v>0.003675</v>
      </c>
      <c r="C110" s="14" t="n">
        <v>0.00510775</v>
      </c>
      <c r="D110" s="14" t="n">
        <v>0.01276303</v>
      </c>
      <c r="E110" s="14" t="n">
        <v>0.00589565</v>
      </c>
      <c r="F110" s="6" t="n">
        <f aca="false">F109*(1+C110)</f>
        <v>919749.341471781</v>
      </c>
      <c r="G110" s="6" t="n">
        <f aca="false">G109*(1+D110)</f>
        <v>1116079.93934184</v>
      </c>
      <c r="H110" s="6" t="n">
        <f aca="false">H109*(1+E110)</f>
        <v>938389.179717382</v>
      </c>
      <c r="I110" s="6" t="n">
        <f aca="false">MAX(I109,F110)</f>
        <v>919749.341471781</v>
      </c>
      <c r="J110" s="6" t="n">
        <f aca="false">MAX(J109,G110)</f>
        <v>1116079.93934184</v>
      </c>
      <c r="K110" s="6" t="n">
        <f aca="false">MAX(K109,H110)</f>
        <v>938389.179717382</v>
      </c>
      <c r="L110" s="14" t="n">
        <f aca="false">F110/I110-1</f>
        <v>0</v>
      </c>
      <c r="M110" s="14" t="n">
        <f aca="false">G110/J110-1</f>
        <v>0</v>
      </c>
      <c r="N110" s="14" t="n">
        <f aca="false">H110/K110-1</f>
        <v>0</v>
      </c>
    </row>
    <row r="111" customFormat="false" ht="15" hidden="false" customHeight="false" outlineLevel="0" collapsed="false">
      <c r="A111" s="17" t="n">
        <v>45900</v>
      </c>
      <c r="B111" s="19" t="n">
        <v>0.003675</v>
      </c>
      <c r="C111" s="14" t="n">
        <v>0.02112454</v>
      </c>
      <c r="D111" s="14" t="n">
        <v>0.01712552</v>
      </c>
      <c r="E111" s="14" t="n">
        <v>0.02212831</v>
      </c>
      <c r="F111" s="6" t="n">
        <f aca="false">F110*(1+C111)</f>
        <v>939178.623225675</v>
      </c>
      <c r="G111" s="6" t="n">
        <f aca="false">G110*(1+D111)</f>
        <v>1135193.38866464</v>
      </c>
      <c r="H111" s="6" t="n">
        <f aca="false">H110*(1+E111)</f>
        <v>959154.146386814</v>
      </c>
      <c r="I111" s="6" t="n">
        <f aca="false">MAX(I110,F111)</f>
        <v>939178.623225675</v>
      </c>
      <c r="J111" s="6" t="n">
        <f aca="false">MAX(J110,G111)</f>
        <v>1135193.38866464</v>
      </c>
      <c r="K111" s="6" t="n">
        <f aca="false">MAX(K110,H111)</f>
        <v>959154.146386814</v>
      </c>
      <c r="L111" s="14" t="n">
        <f aca="false">F111/I111-1</f>
        <v>0</v>
      </c>
      <c r="M111" s="14" t="n">
        <f aca="false">G111/J111-1</f>
        <v>0</v>
      </c>
      <c r="N111" s="14" t="n">
        <f aca="false">H111/K111-1</f>
        <v>0</v>
      </c>
    </row>
    <row r="112" customFormat="false" ht="15" hidden="false" customHeight="false" outlineLevel="0" collapsed="false">
      <c r="A112" s="17" t="n">
        <v>45930</v>
      </c>
      <c r="B112" s="19" t="n">
        <v>0.003525</v>
      </c>
      <c r="C112" s="14" t="n">
        <v>0.0283438</v>
      </c>
      <c r="D112" s="14" t="n">
        <v>0.02606257</v>
      </c>
      <c r="E112" s="14" t="n">
        <v>0.02483283</v>
      </c>
      <c r="F112" s="6" t="n">
        <f aca="false">F111*(1+C112)</f>
        <v>965798.514286659</v>
      </c>
      <c r="G112" s="6" t="n">
        <f aca="false">G111*(1+D112)</f>
        <v>1164779.44582025</v>
      </c>
      <c r="H112" s="6" t="n">
        <f aca="false">H111*(1+E112)</f>
        <v>982972.658247833</v>
      </c>
      <c r="I112" s="6" t="n">
        <f aca="false">MAX(I111,F112)</f>
        <v>965798.514286659</v>
      </c>
      <c r="J112" s="6" t="n">
        <f aca="false">MAX(J111,G112)</f>
        <v>1164779.44582025</v>
      </c>
      <c r="K112" s="6" t="n">
        <f aca="false">MAX(K111,H112)</f>
        <v>982972.658247833</v>
      </c>
      <c r="L112" s="14" t="n">
        <f aca="false">F112/I112-1</f>
        <v>0</v>
      </c>
      <c r="M112" s="14" t="n">
        <f aca="false">G112/J112-1</f>
        <v>0</v>
      </c>
      <c r="N112" s="14" t="n">
        <f aca="false">H112/K112-1</f>
        <v>0</v>
      </c>
    </row>
    <row r="113" customFormat="false" ht="15" hidden="false" customHeight="false" outlineLevel="0" collapsed="false">
      <c r="A113" s="17" t="n">
        <v>45961</v>
      </c>
      <c r="B113" s="19" t="n">
        <v>0.00335</v>
      </c>
      <c r="C113" s="14" t="n">
        <v>0.01345405</v>
      </c>
      <c r="D113" s="14" t="n">
        <v>0.01676436</v>
      </c>
      <c r="E113" s="14" t="n">
        <v>0.01523878</v>
      </c>
      <c r="F113" s="6" t="n">
        <f aca="false">F112*(1+C113)</f>
        <v>978792.415787798</v>
      </c>
      <c r="G113" s="6" t="n">
        <f aca="false">G112*(1+D113)</f>
        <v>1184306.22777058</v>
      </c>
      <c r="H113" s="6" t="n">
        <f aca="false">H112*(1+E113)</f>
        <v>997951.962332887</v>
      </c>
      <c r="I113" s="6" t="n">
        <f aca="false">MAX(I112,F113)</f>
        <v>978792.415787798</v>
      </c>
      <c r="J113" s="6" t="n">
        <f aca="false">MAX(J112,G113)</f>
        <v>1184306.22777058</v>
      </c>
      <c r="K113" s="6" t="n">
        <f aca="false">MAX(K112,H113)</f>
        <v>997951.962332887</v>
      </c>
      <c r="L113" s="14" t="n">
        <f aca="false">F113/I113-1</f>
        <v>0</v>
      </c>
      <c r="M113" s="14" t="n">
        <f aca="false">G113/J113-1</f>
        <v>0</v>
      </c>
      <c r="N113" s="14" t="n">
        <f aca="false">H113/K113-1</f>
        <v>0</v>
      </c>
    </row>
    <row r="114" customFormat="false" ht="15" hidden="false" customHeight="false" outlineLevel="0" collapsed="false">
      <c r="A114" s="17" t="n">
        <v>45991</v>
      </c>
      <c r="B114" s="19" t="n">
        <v>0.00324167</v>
      </c>
      <c r="C114" s="14" t="n">
        <v>0.00468893</v>
      </c>
      <c r="D114" s="14" t="n">
        <v>0.00357567</v>
      </c>
      <c r="E114" s="14" t="n">
        <v>0.00553086</v>
      </c>
      <c r="F114" s="6" t="n">
        <f aca="false">F113*(1+C114)</f>
        <v>983381.904909957</v>
      </c>
      <c r="G114" s="6" t="n">
        <f aca="false">G113*(1+D114)</f>
        <v>1188540.91602004</v>
      </c>
      <c r="H114" s="6" t="n">
        <f aca="false">H113*(1+E114)</f>
        <v>1003471.49492328</v>
      </c>
      <c r="I114" s="6" t="n">
        <f aca="false">MAX(I113,F114)</f>
        <v>983381.904909957</v>
      </c>
      <c r="J114" s="6" t="n">
        <f aca="false">MAX(J113,G114)</f>
        <v>1188540.91602004</v>
      </c>
      <c r="K114" s="6" t="n">
        <f aca="false">MAX(K113,H114)</f>
        <v>1003471.49492328</v>
      </c>
      <c r="L114" s="14" t="n">
        <f aca="false">F114/I114-1</f>
        <v>0</v>
      </c>
      <c r="M114" s="14" t="n">
        <f aca="false">G114/J114-1</f>
        <v>0</v>
      </c>
      <c r="N114" s="14" t="n">
        <f aca="false">H114/K114-1</f>
        <v>0</v>
      </c>
    </row>
    <row r="115" customFormat="false" ht="15" hidden="false" customHeight="false" outlineLevel="0" collapsed="false">
      <c r="A115" s="17" t="n">
        <v>46022</v>
      </c>
      <c r="B115" s="19" t="n">
        <v>0.00323333</v>
      </c>
      <c r="C115" s="14" t="n">
        <v>0.00444934</v>
      </c>
      <c r="D115" s="14" t="n">
        <v>-0.00063004</v>
      </c>
      <c r="E115" s="14" t="n">
        <v>0.00349398</v>
      </c>
      <c r="F115" s="6" t="n">
        <f aca="false">F114*(1+C115)</f>
        <v>987757.30535475</v>
      </c>
      <c r="G115" s="6" t="n">
        <f aca="false">G114*(1+D115)</f>
        <v>1187792.08770131</v>
      </c>
      <c r="H115" s="6" t="n">
        <f aca="false">H114*(1+E115)</f>
        <v>1006977.60425711</v>
      </c>
      <c r="I115" s="6" t="n">
        <f aca="false">MAX(I114,F115)</f>
        <v>987757.30535475</v>
      </c>
      <c r="J115" s="6" t="n">
        <f aca="false">MAX(J114,G115)</f>
        <v>1188540.91602004</v>
      </c>
      <c r="K115" s="6" t="n">
        <f aca="false">MAX(K114,H115)</f>
        <v>1006977.60425711</v>
      </c>
      <c r="L115" s="14" t="n">
        <f aca="false">F115/I115-1</f>
        <v>0</v>
      </c>
      <c r="M115" s="14" t="n">
        <f aca="false">G115/J115-1</f>
        <v>-0.000630039999999998</v>
      </c>
      <c r="N115" s="14" t="n">
        <f aca="false">H115/K115-1</f>
        <v>0</v>
      </c>
    </row>
    <row r="116" customFormat="false" ht="15" hidden="false" customHeight="false" outlineLevel="0" collapsed="false">
      <c r="A116" s="17" t="n">
        <v>46053</v>
      </c>
      <c r="B116" s="19" t="n">
        <v>0.00305833</v>
      </c>
      <c r="C116" s="14" t="n">
        <v>0.02982923</v>
      </c>
      <c r="D116" s="14" t="n">
        <v>0.00984395</v>
      </c>
      <c r="E116" s="14" t="n">
        <v>0.02076598</v>
      </c>
      <c r="F116" s="6" t="n">
        <f aca="false">F115*(1+C116)</f>
        <v>1017221.34520036</v>
      </c>
      <c r="G116" s="6" t="n">
        <f aca="false">G115*(1+D116)</f>
        <v>1199484.65362303</v>
      </c>
      <c r="H116" s="6" t="n">
        <f aca="false">H115*(1+E116)</f>
        <v>1027888.48104756</v>
      </c>
      <c r="I116" s="6" t="n">
        <f aca="false">MAX(I115,F116)</f>
        <v>1017221.34520036</v>
      </c>
      <c r="J116" s="6" t="n">
        <f aca="false">MAX(J115,G116)</f>
        <v>1199484.65362303</v>
      </c>
      <c r="K116" s="6" t="n">
        <f aca="false">MAX(K115,H116)</f>
        <v>1027888.48104756</v>
      </c>
      <c r="L116" s="14" t="n">
        <f aca="false">F116/I116-1</f>
        <v>0</v>
      </c>
      <c r="M116" s="14" t="n">
        <f aca="false">G116/J116-1</f>
        <v>0</v>
      </c>
      <c r="N116" s="14" t="n">
        <f aca="false">H116/K116-1</f>
        <v>0</v>
      </c>
    </row>
    <row r="117" customFormat="false" ht="15" hidden="false" customHeight="false" outlineLevel="0" collapsed="false">
      <c r="A117" s="17" t="n">
        <v>46081</v>
      </c>
      <c r="B117" s="19" t="n">
        <v>0.00305833</v>
      </c>
      <c r="C117" s="14" t="n">
        <v>0.02071574</v>
      </c>
      <c r="D117" s="14" t="n">
        <v>0.00113561</v>
      </c>
      <c r="E117" s="14" t="n">
        <v>0.01506923</v>
      </c>
      <c r="F117" s="6" t="n">
        <f aca="false">F116*(1+C117)</f>
        <v>1038293.83810998</v>
      </c>
      <c r="G117" s="6" t="n">
        <f aca="false">G116*(1+D117)</f>
        <v>1200846.80039053</v>
      </c>
      <c r="H117" s="6" t="n">
        <f aca="false">H116*(1+E117)</f>
        <v>1043377.96898281</v>
      </c>
      <c r="I117" s="6" t="n">
        <f aca="false">MAX(I116,F117)</f>
        <v>1038293.83810998</v>
      </c>
      <c r="J117" s="6" t="n">
        <f aca="false">MAX(J116,G117)</f>
        <v>1200846.80039053</v>
      </c>
      <c r="K117" s="6" t="n">
        <f aca="false">MAX(K116,H117)</f>
        <v>1043377.96898281</v>
      </c>
      <c r="L117" s="14" t="n">
        <f aca="false">F117/I117-1</f>
        <v>0</v>
      </c>
      <c r="M117" s="14" t="n">
        <f aca="false">G117/J117-1</f>
        <v>0</v>
      </c>
      <c r="N117" s="14" t="n">
        <f aca="false">H117/K117-1</f>
        <v>0</v>
      </c>
    </row>
    <row r="118" customFormat="false" ht="15" hidden="false" customHeight="false" outlineLevel="0" collapsed="false">
      <c r="A118" s="17" t="n">
        <v>46112</v>
      </c>
      <c r="B118" s="19" t="n">
        <v>0.00305833</v>
      </c>
      <c r="C118" s="14" t="n">
        <v>-0.04581628</v>
      </c>
      <c r="D118" s="14" t="n">
        <v>-0.03672266</v>
      </c>
      <c r="E118" s="14" t="n">
        <v>-0.04468523</v>
      </c>
      <c r="F118" s="6" t="n">
        <f aca="false">F117*(1+C118)</f>
        <v>990723.076900856</v>
      </c>
      <c r="G118" s="6" t="n">
        <f aca="false">G117*(1+D118)</f>
        <v>1156748.5116277</v>
      </c>
      <c r="H118" s="6" t="n">
        <f aca="false">H117*(1+E118)</f>
        <v>996754.384461885</v>
      </c>
      <c r="I118" s="6" t="n">
        <f aca="false">MAX(I117,F118)</f>
        <v>1038293.83810998</v>
      </c>
      <c r="J118" s="6" t="n">
        <f aca="false">MAX(J117,G118)</f>
        <v>1200846.80039053</v>
      </c>
      <c r="K118" s="6" t="n">
        <f aca="false">MAX(K117,H118)</f>
        <v>1043377.96898281</v>
      </c>
      <c r="L118" s="14" t="n">
        <f aca="false">F118/I118-1</f>
        <v>-0.04581628</v>
      </c>
      <c r="M118" s="14" t="n">
        <f aca="false">G118/J118-1</f>
        <v>-0.03672266</v>
      </c>
      <c r="N118" s="14" t="n">
        <f aca="false">H118/K118-1</f>
        <v>-0.04468523</v>
      </c>
    </row>
    <row r="119" customFormat="false" ht="15" hidden="false" customHeight="false" outlineLevel="0" collapsed="false">
      <c r="A119" s="17" t="n">
        <v>46142</v>
      </c>
      <c r="B119" s="19" t="n">
        <v>0.00308333</v>
      </c>
      <c r="C119" s="14" t="n">
        <v>0.04145789</v>
      </c>
      <c r="D119" s="14" t="n">
        <v>0.06370683</v>
      </c>
      <c r="E119" s="14" t="n">
        <v>0.05694852</v>
      </c>
      <c r="F119" s="6" t="n">
        <f aca="false">F118*(1+C119)</f>
        <v>1031796.36524347</v>
      </c>
      <c r="G119" s="6" t="n">
        <f aca="false">G118*(1+D119)</f>
        <v>1230441.29241072</v>
      </c>
      <c r="H119" s="6" t="n">
        <f aca="false">H118*(1+E119)</f>
        <v>1053518.0714605</v>
      </c>
      <c r="I119" s="6" t="n">
        <f aca="false">MAX(I118,F119)</f>
        <v>1038293.83810998</v>
      </c>
      <c r="J119" s="6" t="n">
        <f aca="false">MAX(J118,G119)</f>
        <v>1230441.29241072</v>
      </c>
      <c r="K119" s="6" t="n">
        <f aca="false">MAX(K118,H119)</f>
        <v>1053518.0714605</v>
      </c>
      <c r="L119" s="14" t="n">
        <f aca="false">F119/I119-1</f>
        <v>-0.00625783629644927</v>
      </c>
      <c r="M119" s="14" t="n">
        <f aca="false">G119/J119-1</f>
        <v>0</v>
      </c>
      <c r="N119" s="14" t="n">
        <f aca="false">H119/K119-1</f>
        <v>0</v>
      </c>
    </row>
    <row r="120" customFormat="false" ht="15" hidden="false" customHeight="false" outlineLevel="0" collapsed="false">
      <c r="A120" s="17" t="n">
        <v>46173</v>
      </c>
      <c r="B120" s="19" t="n">
        <v>0.00306667</v>
      </c>
      <c r="C120" s="14" t="n">
        <v>0.01899697</v>
      </c>
      <c r="D120" s="14" t="n">
        <v>0.03390873</v>
      </c>
      <c r="E120" s="14" t="n">
        <v>0.02836464</v>
      </c>
      <c r="F120" s="6" t="n">
        <f aca="false">F119*(1+C120)</f>
        <v>1051397.36984011</v>
      </c>
      <c r="G120" s="6" t="n">
        <f aca="false">G119*(1+D120)</f>
        <v>1272163.99397593</v>
      </c>
      <c r="H120" s="6" t="n">
        <f aca="false">H119*(1+E120)</f>
        <v>1083400.73229097</v>
      </c>
      <c r="I120" s="6" t="n">
        <f aca="false">MAX(I119,F120)</f>
        <v>1051397.36984011</v>
      </c>
      <c r="J120" s="6" t="n">
        <f aca="false">MAX(J119,G120)</f>
        <v>1272163.99397593</v>
      </c>
      <c r="K120" s="6" t="n">
        <f aca="false">MAX(K119,H120)</f>
        <v>1083400.73229097</v>
      </c>
      <c r="L120" s="14" t="n">
        <f aca="false">F120/I120-1</f>
        <v>0</v>
      </c>
      <c r="M120" s="14" t="n">
        <f aca="false">G120/J120-1</f>
        <v>0</v>
      </c>
      <c r="N120" s="14" t="n">
        <f aca="false">H120/K120-1</f>
        <v>0</v>
      </c>
    </row>
    <row r="121" customFormat="false" ht="15" hidden="false" customHeight="false" outlineLevel="0" collapsed="false">
      <c r="A121" s="17" t="n">
        <v>46203</v>
      </c>
      <c r="B121" s="19" t="n">
        <v>0.003075</v>
      </c>
      <c r="C121" s="14" t="n">
        <v>-0.00850961</v>
      </c>
      <c r="D121" s="14" t="n">
        <v>-0.0056342</v>
      </c>
      <c r="E121" s="14" t="n">
        <v>-0.00158029</v>
      </c>
      <c r="F121" s="6" t="n">
        <f aca="false">F120*(1+C121)</f>
        <v>1042450.38826775</v>
      </c>
      <c r="G121" s="6" t="n">
        <f aca="false">G120*(1+D121)</f>
        <v>1264996.36760107</v>
      </c>
      <c r="H121" s="6" t="n">
        <f aca="false">H120*(1+E121)</f>
        <v>1081688.64494774</v>
      </c>
      <c r="I121" s="6" t="n">
        <f aca="false">MAX(I120,F121)</f>
        <v>1051397.36984011</v>
      </c>
      <c r="J121" s="6" t="n">
        <f aca="false">MAX(J120,G121)</f>
        <v>1272163.99397593</v>
      </c>
      <c r="K121" s="6" t="n">
        <f aca="false">MAX(K120,H121)</f>
        <v>1083400.73229097</v>
      </c>
      <c r="L121" s="14" t="n">
        <f aca="false">F121/I121-1</f>
        <v>-0.00850960999999995</v>
      </c>
      <c r="M121" s="14" t="n">
        <f aca="false">G121/J121-1</f>
        <v>-0.00563419999999992</v>
      </c>
      <c r="N121" s="14" t="n">
        <f aca="false">H121/K121-1</f>
        <v>-0.00158029000000015</v>
      </c>
    </row>
    <row r="122" customFormat="false" ht="15" hidden="false" customHeight="false" outlineLevel="0" collapsed="false">
      <c r="A122" s="17" t="n">
        <v>46234</v>
      </c>
      <c r="B122" s="19" t="n">
        <v>0.003225</v>
      </c>
      <c r="C122" s="14" t="n">
        <v>-0.00577894</v>
      </c>
      <c r="D122" s="14" t="n">
        <v>-0.00497707</v>
      </c>
      <c r="E122" s="14" t="n">
        <v>-0.00646554</v>
      </c>
      <c r="F122" s="6" t="n">
        <f aca="false">F121*(1+C122)</f>
        <v>1036426.13002097</v>
      </c>
      <c r="G122" s="6" t="n">
        <f aca="false">G121*(1+D122)</f>
        <v>1258700.39212978</v>
      </c>
      <c r="H122" s="6" t="n">
        <f aca="false">H121*(1+E122)</f>
        <v>1074694.94374628</v>
      </c>
      <c r="I122" s="6" t="n">
        <f aca="false">MAX(I121,F122)</f>
        <v>1051397.36984011</v>
      </c>
      <c r="J122" s="6" t="n">
        <f aca="false">MAX(J121,G122)</f>
        <v>1272163.99397593</v>
      </c>
      <c r="K122" s="6" t="n">
        <f aca="false">MAX(K121,H122)</f>
        <v>1083400.73229097</v>
      </c>
      <c r="L122" s="14" t="n">
        <f aca="false">F122/I122-1</f>
        <v>-0.0142393734743865</v>
      </c>
      <c r="M122" s="14" t="n">
        <f aca="false">G122/J122-1</f>
        <v>-0.010583228192206</v>
      </c>
      <c r="N122" s="14" t="n">
        <f aca="false">H122/K122-1</f>
        <v>-0.00803561257179353</v>
      </c>
    </row>
    <row r="123" customFormat="false" ht="15" hidden="false" customHeight="false" outlineLevel="0" collapsed="false">
      <c r="A123" s="17" t="n">
        <v>46265</v>
      </c>
      <c r="B123" s="19" t="n">
        <v>0.00319167</v>
      </c>
      <c r="C123" s="14" t="n">
        <v>0.02048412</v>
      </c>
      <c r="D123" s="14" t="n">
        <v>0.01771137</v>
      </c>
      <c r="E123" s="14" t="n">
        <v>0.0176565</v>
      </c>
      <c r="F123" s="6" t="n">
        <f aca="false">F122*(1+C123)</f>
        <v>1057656.40723946</v>
      </c>
      <c r="G123" s="6" t="n">
        <f aca="false">G122*(1+D123)</f>
        <v>1280993.70049393</v>
      </c>
      <c r="H123" s="6" t="n">
        <f aca="false">H122*(1+E123)</f>
        <v>1093670.29502054</v>
      </c>
      <c r="I123" s="6" t="n">
        <f aca="false">MAX(I122,F123)</f>
        <v>1057656.40723946</v>
      </c>
      <c r="J123" s="6" t="n">
        <f aca="false">MAX(J122,G123)</f>
        <v>1280993.70049393</v>
      </c>
      <c r="K123" s="6" t="n">
        <f aca="false">MAX(K122,H123)</f>
        <v>1093670.29502054</v>
      </c>
      <c r="L123" s="14" t="n">
        <f aca="false">F123/I123-1</f>
        <v>0</v>
      </c>
      <c r="M123" s="14" t="n">
        <f aca="false">G123/J123-1</f>
        <v>0</v>
      </c>
      <c r="N123" s="14" t="n">
        <f aca="false">H123/K123-1</f>
        <v>0</v>
      </c>
    </row>
    <row r="124" customFormat="false" ht="15" hidden="false" customHeight="false" outlineLevel="0" collapsed="false">
      <c r="A124" s="17" t="n">
        <v>46295</v>
      </c>
      <c r="B124" s="19" t="n">
        <v>0.00325833</v>
      </c>
      <c r="C124" s="14" t="n">
        <v>-0.02234846</v>
      </c>
      <c r="D124" s="14" t="n">
        <v>-0.01223144</v>
      </c>
      <c r="E124" s="14" t="n">
        <v>-0.01749357</v>
      </c>
      <c r="F124" s="6" t="n">
        <f aca="false">F123*(1+C124)</f>
        <v>1034019.41532852</v>
      </c>
      <c r="G124" s="6" t="n">
        <f aca="false">G123*(1+D124)</f>
        <v>1265325.30290596</v>
      </c>
      <c r="H124" s="6" t="n">
        <f aca="false">H123*(1+E124)</f>
        <v>1074538.09715768</v>
      </c>
      <c r="I124" s="6" t="n">
        <f aca="false">MAX(I123,F124)</f>
        <v>1057656.40723946</v>
      </c>
      <c r="J124" s="6" t="n">
        <f aca="false">MAX(J123,G124)</f>
        <v>1280993.70049393</v>
      </c>
      <c r="K124" s="6" t="n">
        <f aca="false">MAX(K123,H124)</f>
        <v>1093670.29502054</v>
      </c>
      <c r="L124" s="14" t="n">
        <f aca="false">F124/I124-1</f>
        <v>-0.02234846</v>
      </c>
      <c r="M124" s="14" t="n">
        <f aca="false">G124/J124-1</f>
        <v>-0.01223144</v>
      </c>
      <c r="N124" s="14" t="n">
        <f aca="false">H124/K124-1</f>
        <v>-0.01749357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26"/>
    <col collapsed="false" customWidth="true" hidden="false" outlineLevel="0" max="6" min="5" style="0" width="10"/>
    <col collapsed="false" customWidth="true" hidden="false" outlineLevel="0" max="8" min="7" style="0" width="12"/>
  </cols>
  <sheetData>
    <row r="1" customFormat="false" ht="16.15" hidden="false" customHeight="false" outlineLevel="0" collapsed="false">
      <c r="A1" s="1" t="s">
        <v>149</v>
      </c>
    </row>
    <row r="3" customFormat="false" ht="41.75" hidden="false" customHeight="false" outlineLevel="0" collapsed="false">
      <c r="A3" s="5" t="s">
        <v>150</v>
      </c>
      <c r="B3" s="5" t="s">
        <v>151</v>
      </c>
      <c r="D3" s="5" t="s">
        <v>152</v>
      </c>
      <c r="E3" s="5" t="s">
        <v>153</v>
      </c>
      <c r="F3" s="5" t="s">
        <v>154</v>
      </c>
      <c r="G3" s="5" t="s">
        <v>155</v>
      </c>
      <c r="H3" s="5" t="s">
        <v>156</v>
      </c>
    </row>
    <row r="4" customFormat="false" ht="15" hidden="false" customHeight="false" outlineLevel="0" collapsed="false">
      <c r="A4" s="17" t="n">
        <v>42646</v>
      </c>
      <c r="B4" s="19" t="n">
        <v>-0.00314199999999998</v>
      </c>
      <c r="D4" s="0" t="s">
        <v>157</v>
      </c>
      <c r="E4" s="14" t="n">
        <f aca="false">-_xlfn.PERCENTILE.INC($B$4:$B$2523,1-0.95)</f>
        <v>0.00779709691329399</v>
      </c>
      <c r="F4" s="14" t="n">
        <f aca="false">-_xlfn.PERCENTILE.INC($B$4:$B$2523,1-0.99)</f>
        <v>0.0144227766483544</v>
      </c>
      <c r="G4" s="6" t="n">
        <f aca="false">E4*Allocation!$B$2</f>
        <v>3898.548456647</v>
      </c>
      <c r="H4" s="6" t="n">
        <f aca="false">F4*Allocation!$B$2</f>
        <v>7211.38832417719</v>
      </c>
    </row>
    <row r="5" customFormat="false" ht="15" hidden="false" customHeight="false" outlineLevel="0" collapsed="false">
      <c r="A5" s="17" t="n">
        <v>42647</v>
      </c>
      <c r="B5" s="19" t="n">
        <v>-0.00580283249971403</v>
      </c>
      <c r="D5" s="0" t="s">
        <v>158</v>
      </c>
      <c r="E5" s="14" t="n">
        <f aca="false">-AVERAGEIF($B$4:$B$2523,"&lt;="&amp;_xlfn.PERCENTILE.INC($B$4:$B$2523,1-0.95))</f>
        <v>0.0128831666152768</v>
      </c>
      <c r="F5" s="14" t="n">
        <f aca="false">-AVERAGEIF($B$4:$B$2523,"&lt;="&amp;_xlfn.PERCENTILE.INC($B$4:$B$2523,1-0.99))</f>
        <v>0.0229497281110164</v>
      </c>
      <c r="G5" s="6" t="n">
        <f aca="false">E5*Allocation!$B$2</f>
        <v>6441.5833076384</v>
      </c>
      <c r="H5" s="6" t="n">
        <f aca="false">F5*Allocation!$B$2</f>
        <v>11474.8640555082</v>
      </c>
    </row>
    <row r="6" customFormat="false" ht="15" hidden="false" customHeight="false" outlineLevel="0" collapsed="false">
      <c r="A6" s="17" t="n">
        <v>42648</v>
      </c>
      <c r="B6" s="19" t="n">
        <v>0.00157873271545772</v>
      </c>
      <c r="D6" s="0" t="s">
        <v>159</v>
      </c>
      <c r="E6" s="14" t="n">
        <f aca="false">-(AVERAGE($B$4:$B$2523)-_xlfn.NORM.S.INV(0.95)*_xlfn.STDEV.S($B$4:$B$2523))</f>
        <v>0.00867823934353068</v>
      </c>
      <c r="F6" s="14" t="n">
        <f aca="false">-(AVERAGE($B$4:$B$2523)-_xlfn.NORM.S.INV(0.99)*_xlfn.STDEV.S($B$4:$B$2523))</f>
        <v>0.012400429754989</v>
      </c>
      <c r="G6" s="6" t="n">
        <f aca="false">E6*Allocation!$B$2</f>
        <v>4339.11967176534</v>
      </c>
      <c r="H6" s="6" t="n">
        <f aca="false">F6*Allocation!$B$2</f>
        <v>6200.21487749449</v>
      </c>
    </row>
    <row r="7" customFormat="false" ht="15" hidden="false" customHeight="false" outlineLevel="0" collapsed="false">
      <c r="A7" s="17" t="n">
        <v>42649</v>
      </c>
      <c r="B7" s="19" t="n">
        <v>-0.0011980600703152</v>
      </c>
      <c r="D7" s="0" t="s">
        <v>160</v>
      </c>
      <c r="E7" s="14" t="n">
        <f aca="false">-_xlfn.PERCENTILE.INC(Backtest!$C$5:$C$124,1-0.95)</f>
        <v>0.0320931105</v>
      </c>
      <c r="F7" s="14" t="n">
        <f aca="false">-_xlfn.PERCENTILE.INC(Backtest!$C$5:$C$124,1-0.99)</f>
        <v>0.0613017732</v>
      </c>
      <c r="G7" s="6" t="n">
        <f aca="false">E7*Allocation!$B$2</f>
        <v>16046.55525</v>
      </c>
      <c r="H7" s="6" t="n">
        <f aca="false">F7*Allocation!$B$2</f>
        <v>30650.8866</v>
      </c>
    </row>
    <row r="8" customFormat="false" ht="15" hidden="false" customHeight="false" outlineLevel="0" collapsed="false">
      <c r="A8" s="17" t="n">
        <v>42650</v>
      </c>
      <c r="B8" s="19" t="n">
        <v>-0.00145520373820618</v>
      </c>
      <c r="D8" s="0" t="s">
        <v>161</v>
      </c>
      <c r="E8" s="14" t="n">
        <f aca="false">-AVERAGEIF(Backtest!$C$5:$C$124,"&lt;="&amp;_xlfn.PERCENTILE.INC(Backtest!$C$5:$C$124,1-0.95))</f>
        <v>0.0518042966666667</v>
      </c>
      <c r="F8" s="14" t="n">
        <f aca="false">-AVERAGEIF(Backtest!$C$5:$C$124,"&lt;="&amp;_xlfn.PERCENTILE.INC(Backtest!$C$5:$C$124,1-0.99))</f>
        <v>0.06879983</v>
      </c>
      <c r="G8" s="6" t="n">
        <f aca="false">E8*Allocation!$B$2</f>
        <v>25902.1483333333</v>
      </c>
      <c r="H8" s="6" t="n">
        <f aca="false">F8*Allocation!$B$2</f>
        <v>34399.915</v>
      </c>
    </row>
    <row r="9" customFormat="false" ht="15" hidden="false" customHeight="false" outlineLevel="0" collapsed="false">
      <c r="A9" s="17" t="n">
        <v>42653</v>
      </c>
      <c r="B9" s="19" t="n">
        <v>0.00194507904214403</v>
      </c>
      <c r="D9" s="0" t="s">
        <v>162</v>
      </c>
      <c r="E9" s="14" t="n">
        <f aca="false">-(AVERAGE(Backtest!$C$5:$C$124)-_xlfn.NORM.S.INV(0.95)*_xlfn.STDEV.S(Backtest!$C$5:$C$124))</f>
        <v>0.032951395859471</v>
      </c>
      <c r="F9" s="14" t="n">
        <f aca="false">-(AVERAGE(Backtest!$C$5:$C$124)-_xlfn.NORM.S.INV(0.99)*_xlfn.STDEV.S(Backtest!$C$5:$C$124))</f>
        <v>0.0492377639375975</v>
      </c>
      <c r="G9" s="6" t="n">
        <f aca="false">E9*Allocation!$B$2</f>
        <v>16475.6979297355</v>
      </c>
      <c r="H9" s="6" t="n">
        <f aca="false">F9*Allocation!$B$2</f>
        <v>24618.8819687988</v>
      </c>
    </row>
    <row r="10" customFormat="false" ht="15" hidden="false" customHeight="false" outlineLevel="0" collapsed="false">
      <c r="A10" s="17" t="n">
        <v>42654</v>
      </c>
      <c r="B10" s="19" t="n">
        <v>-0.00698804175706946</v>
      </c>
    </row>
    <row r="11" customFormat="false" ht="15" hidden="false" customHeight="false" outlineLevel="0" collapsed="false">
      <c r="A11" s="17" t="n">
        <v>42655</v>
      </c>
      <c r="B11" s="19" t="n">
        <v>0.000790680186991244</v>
      </c>
      <c r="D11" s="0" t="s">
        <v>163</v>
      </c>
      <c r="E11" s="0" t="n">
        <f aca="false">COUNT($B$4:$B$2523)</f>
        <v>2520</v>
      </c>
    </row>
    <row r="12" customFormat="false" ht="15" hidden="false" customHeight="false" outlineLevel="0" collapsed="false">
      <c r="A12" s="17" t="n">
        <v>42656</v>
      </c>
      <c r="B12" s="19" t="n">
        <v>-0.0006913112478657</v>
      </c>
    </row>
    <row r="13" customFormat="false" ht="15" hidden="false" customHeight="false" outlineLevel="0" collapsed="false">
      <c r="A13" s="17" t="n">
        <v>42657</v>
      </c>
      <c r="B13" s="19" t="n">
        <v>-0.000925979539727839</v>
      </c>
    </row>
    <row r="14" customFormat="false" ht="15" hidden="false" customHeight="false" outlineLevel="0" collapsed="false">
      <c r="A14" s="17" t="n">
        <v>42660</v>
      </c>
      <c r="B14" s="19" t="n">
        <v>-0.000545547739298491</v>
      </c>
    </row>
    <row r="15" customFormat="false" ht="15" hidden="false" customHeight="false" outlineLevel="0" collapsed="false">
      <c r="A15" s="17" t="n">
        <v>42661</v>
      </c>
      <c r="B15" s="19" t="n">
        <v>0.00468222248469186</v>
      </c>
    </row>
    <row r="16" customFormat="false" ht="15" hidden="false" customHeight="false" outlineLevel="0" collapsed="false">
      <c r="A16" s="17" t="n">
        <v>42662</v>
      </c>
      <c r="B16" s="19" t="n">
        <v>0.00218472191843167</v>
      </c>
    </row>
    <row r="17" customFormat="false" ht="15" hidden="false" customHeight="false" outlineLevel="0" collapsed="false">
      <c r="A17" s="17" t="n">
        <v>42663</v>
      </c>
      <c r="B17" s="19" t="n">
        <v>-0.00036075859991247</v>
      </c>
    </row>
    <row r="18" customFormat="false" ht="15" hidden="false" customHeight="false" outlineLevel="0" collapsed="false">
      <c r="A18" s="17" t="n">
        <v>42664</v>
      </c>
      <c r="B18" s="19" t="n">
        <v>0.000194271901960086</v>
      </c>
    </row>
    <row r="19" customFormat="false" ht="15" hidden="false" customHeight="false" outlineLevel="0" collapsed="false">
      <c r="A19" s="17" t="n">
        <v>42667</v>
      </c>
      <c r="B19" s="19" t="n">
        <v>0.00128707149548246</v>
      </c>
    </row>
    <row r="20" customFormat="false" ht="15" hidden="false" customHeight="false" outlineLevel="0" collapsed="false">
      <c r="A20" s="17" t="n">
        <v>42668</v>
      </c>
      <c r="B20" s="19" t="n">
        <v>-0.000355574367477352</v>
      </c>
    </row>
    <row r="21" customFormat="false" ht="15" hidden="false" customHeight="false" outlineLevel="0" collapsed="false">
      <c r="A21" s="17" t="n">
        <v>42669</v>
      </c>
      <c r="B21" s="19" t="n">
        <v>-0.002571425740719</v>
      </c>
    </row>
    <row r="22" customFormat="false" ht="15" hidden="false" customHeight="false" outlineLevel="0" collapsed="false">
      <c r="A22" s="17" t="n">
        <v>42670</v>
      </c>
      <c r="B22" s="19" t="n">
        <v>-0.00298211268489212</v>
      </c>
    </row>
    <row r="23" customFormat="false" ht="15" hidden="false" customHeight="false" outlineLevel="0" collapsed="false">
      <c r="A23" s="17" t="n">
        <v>42671</v>
      </c>
      <c r="B23" s="19" t="n">
        <v>-0.00110202867668863</v>
      </c>
    </row>
    <row r="24" customFormat="false" ht="15" hidden="false" customHeight="false" outlineLevel="0" collapsed="false">
      <c r="A24" s="17" t="n">
        <v>42674</v>
      </c>
      <c r="B24" s="19" t="n">
        <v>0.00153579139855253</v>
      </c>
    </row>
    <row r="25" customFormat="false" ht="15" hidden="false" customHeight="false" outlineLevel="0" collapsed="false">
      <c r="A25" s="17" t="n">
        <v>42675</v>
      </c>
      <c r="B25" s="19" t="n">
        <v>-0.00252017302604191</v>
      </c>
    </row>
    <row r="26" customFormat="false" ht="15" hidden="false" customHeight="false" outlineLevel="0" collapsed="false">
      <c r="A26" s="17" t="n">
        <v>42676</v>
      </c>
      <c r="B26" s="19" t="n">
        <v>-0.0030076031261943</v>
      </c>
    </row>
    <row r="27" customFormat="false" ht="15" hidden="false" customHeight="false" outlineLevel="0" collapsed="false">
      <c r="A27" s="17" t="n">
        <v>42677</v>
      </c>
      <c r="B27" s="19" t="n">
        <v>-0.00122499695356837</v>
      </c>
    </row>
    <row r="28" customFormat="false" ht="15" hidden="false" customHeight="false" outlineLevel="0" collapsed="false">
      <c r="A28" s="17" t="n">
        <v>42678</v>
      </c>
      <c r="B28" s="19" t="n">
        <v>-0.000551082429377514</v>
      </c>
    </row>
    <row r="29" customFormat="false" ht="15" hidden="false" customHeight="false" outlineLevel="0" collapsed="false">
      <c r="A29" s="17" t="n">
        <v>42681</v>
      </c>
      <c r="B29" s="19" t="n">
        <v>0.00842304461256083</v>
      </c>
    </row>
    <row r="30" customFormat="false" ht="15" hidden="false" customHeight="false" outlineLevel="0" collapsed="false">
      <c r="A30" s="17" t="n">
        <v>42682</v>
      </c>
      <c r="B30" s="19" t="n">
        <v>0.00180027575674968</v>
      </c>
    </row>
    <row r="31" customFormat="false" ht="15" hidden="false" customHeight="false" outlineLevel="0" collapsed="false">
      <c r="A31" s="17" t="n">
        <v>42683</v>
      </c>
      <c r="B31" s="19" t="n">
        <v>-0.0018154644101509</v>
      </c>
    </row>
    <row r="32" customFormat="false" ht="15" hidden="false" customHeight="false" outlineLevel="0" collapsed="false">
      <c r="A32" s="17" t="n">
        <v>42684</v>
      </c>
      <c r="B32" s="19" t="n">
        <v>-0.0044476899090653</v>
      </c>
    </row>
    <row r="33" customFormat="false" ht="15" hidden="false" customHeight="false" outlineLevel="0" collapsed="false">
      <c r="A33" s="17" t="n">
        <v>42685</v>
      </c>
      <c r="B33" s="19" t="n">
        <v>-0.00457666211251284</v>
      </c>
    </row>
    <row r="34" customFormat="false" ht="15" hidden="false" customHeight="false" outlineLevel="0" collapsed="false">
      <c r="A34" s="17" t="n">
        <v>42688</v>
      </c>
      <c r="B34" s="19" t="n">
        <v>-0.000737743380692768</v>
      </c>
    </row>
    <row r="35" customFormat="false" ht="15" hidden="false" customHeight="false" outlineLevel="0" collapsed="false">
      <c r="A35" s="17" t="n">
        <v>42689</v>
      </c>
      <c r="B35" s="19" t="n">
        <v>0.0035737356211063</v>
      </c>
    </row>
    <row r="36" customFormat="false" ht="15" hidden="false" customHeight="false" outlineLevel="0" collapsed="false">
      <c r="A36" s="17" t="n">
        <v>42690</v>
      </c>
      <c r="B36" s="19" t="n">
        <v>8.70721789218987E-005</v>
      </c>
    </row>
    <row r="37" customFormat="false" ht="15" hidden="false" customHeight="false" outlineLevel="0" collapsed="false">
      <c r="A37" s="17" t="n">
        <v>42691</v>
      </c>
      <c r="B37" s="19" t="n">
        <v>-5.157420580304E-005</v>
      </c>
    </row>
    <row r="38" customFormat="false" ht="15" hidden="false" customHeight="false" outlineLevel="0" collapsed="false">
      <c r="A38" s="17" t="n">
        <v>42692</v>
      </c>
      <c r="B38" s="19" t="n">
        <v>-0.00280461949320121</v>
      </c>
    </row>
    <row r="39" customFormat="false" ht="15" hidden="false" customHeight="false" outlineLevel="0" collapsed="false">
      <c r="A39" s="17" t="n">
        <v>42695</v>
      </c>
      <c r="B39" s="19" t="n">
        <v>0.00326643384985403</v>
      </c>
    </row>
    <row r="40" customFormat="false" ht="15" hidden="false" customHeight="false" outlineLevel="0" collapsed="false">
      <c r="A40" s="17" t="n">
        <v>42696</v>
      </c>
      <c r="B40" s="19" t="n">
        <v>0.00251350967384667</v>
      </c>
    </row>
    <row r="41" customFormat="false" ht="15" hidden="false" customHeight="false" outlineLevel="0" collapsed="false">
      <c r="A41" s="17" t="n">
        <v>42697</v>
      </c>
      <c r="B41" s="19" t="n">
        <v>-0.00194473191336608</v>
      </c>
    </row>
    <row r="42" customFormat="false" ht="15" hidden="false" customHeight="false" outlineLevel="0" collapsed="false">
      <c r="A42" s="17" t="n">
        <v>42699</v>
      </c>
      <c r="B42" s="19" t="n">
        <v>0.00125868388526396</v>
      </c>
    </row>
    <row r="43" customFormat="false" ht="15" hidden="false" customHeight="false" outlineLevel="0" collapsed="false">
      <c r="A43" s="17" t="n">
        <v>42702</v>
      </c>
      <c r="B43" s="19" t="n">
        <v>0.00103753340660262</v>
      </c>
    </row>
    <row r="44" customFormat="false" ht="15" hidden="false" customHeight="false" outlineLevel="0" collapsed="false">
      <c r="A44" s="17" t="n">
        <v>42703</v>
      </c>
      <c r="B44" s="19" t="n">
        <v>0.000739093539515734</v>
      </c>
    </row>
    <row r="45" customFormat="false" ht="15" hidden="false" customHeight="false" outlineLevel="0" collapsed="false">
      <c r="A45" s="17" t="n">
        <v>42704</v>
      </c>
      <c r="B45" s="19" t="n">
        <v>-0.00202261561936068</v>
      </c>
    </row>
    <row r="46" customFormat="false" ht="15" hidden="false" customHeight="false" outlineLevel="0" collapsed="false">
      <c r="A46" s="17" t="n">
        <v>42705</v>
      </c>
      <c r="B46" s="19" t="n">
        <v>-0.00260516012131973</v>
      </c>
    </row>
    <row r="47" customFormat="false" ht="15" hidden="false" customHeight="false" outlineLevel="0" collapsed="false">
      <c r="A47" s="17" t="n">
        <v>42706</v>
      </c>
      <c r="B47" s="19" t="n">
        <v>0.00207127475443403</v>
      </c>
    </row>
    <row r="48" customFormat="false" ht="15" hidden="false" customHeight="false" outlineLevel="0" collapsed="false">
      <c r="A48" s="17" t="n">
        <v>42709</v>
      </c>
      <c r="B48" s="19" t="n">
        <v>0.00311206246182527</v>
      </c>
    </row>
    <row r="49" customFormat="false" ht="15" hidden="false" customHeight="false" outlineLevel="0" collapsed="false">
      <c r="A49" s="17" t="n">
        <v>42710</v>
      </c>
      <c r="B49" s="19" t="n">
        <v>0.00261045185229158</v>
      </c>
    </row>
    <row r="50" customFormat="false" ht="15" hidden="false" customHeight="false" outlineLevel="0" collapsed="false">
      <c r="A50" s="17" t="n">
        <v>42711</v>
      </c>
      <c r="B50" s="19" t="n">
        <v>0.00707609669915255</v>
      </c>
    </row>
    <row r="51" customFormat="false" ht="15" hidden="false" customHeight="false" outlineLevel="0" collapsed="false">
      <c r="A51" s="17" t="n">
        <v>42712</v>
      </c>
      <c r="B51" s="19" t="n">
        <v>0.00100313368488258</v>
      </c>
    </row>
    <row r="52" customFormat="false" ht="15" hidden="false" customHeight="false" outlineLevel="0" collapsed="false">
      <c r="A52" s="17" t="n">
        <v>42713</v>
      </c>
      <c r="B52" s="19" t="n">
        <v>-0.000360692344588576</v>
      </c>
    </row>
    <row r="53" customFormat="false" ht="15" hidden="false" customHeight="false" outlineLevel="0" collapsed="false">
      <c r="A53" s="17" t="n">
        <v>42716</v>
      </c>
      <c r="B53" s="19" t="n">
        <v>-0.000858723383315829</v>
      </c>
    </row>
    <row r="54" customFormat="false" ht="15" hidden="false" customHeight="false" outlineLevel="0" collapsed="false">
      <c r="A54" s="17" t="n">
        <v>42717</v>
      </c>
      <c r="B54" s="19" t="n">
        <v>0.00286345086777362</v>
      </c>
    </row>
    <row r="55" customFormat="false" ht="15" hidden="false" customHeight="false" outlineLevel="0" collapsed="false">
      <c r="A55" s="17" t="n">
        <v>42718</v>
      </c>
      <c r="B55" s="19" t="n">
        <v>-0.0100949681687539</v>
      </c>
    </row>
    <row r="56" customFormat="false" ht="15" hidden="false" customHeight="false" outlineLevel="0" collapsed="false">
      <c r="A56" s="17" t="n">
        <v>42719</v>
      </c>
      <c r="B56" s="19" t="n">
        <v>-0.000408240616586064</v>
      </c>
    </row>
    <row r="57" customFormat="false" ht="15" hidden="false" customHeight="false" outlineLevel="0" collapsed="false">
      <c r="A57" s="17" t="n">
        <v>42720</v>
      </c>
      <c r="B57" s="19" t="n">
        <v>0.000551910030055725</v>
      </c>
    </row>
    <row r="58" customFormat="false" ht="15" hidden="false" customHeight="false" outlineLevel="0" collapsed="false">
      <c r="A58" s="17" t="n">
        <v>42723</v>
      </c>
      <c r="B58" s="19" t="n">
        <v>0.00200545936679242</v>
      </c>
    </row>
    <row r="59" customFormat="false" ht="15" hidden="false" customHeight="false" outlineLevel="0" collapsed="false">
      <c r="A59" s="17" t="n">
        <v>42724</v>
      </c>
      <c r="B59" s="19" t="n">
        <v>0.000658460108153625</v>
      </c>
    </row>
    <row r="60" customFormat="false" ht="15" hidden="false" customHeight="false" outlineLevel="0" collapsed="false">
      <c r="A60" s="17" t="n">
        <v>42725</v>
      </c>
      <c r="B60" s="19" t="n">
        <v>-0.000406814361663566</v>
      </c>
    </row>
    <row r="61" customFormat="false" ht="15" hidden="false" customHeight="false" outlineLevel="0" collapsed="false">
      <c r="A61" s="17" t="n">
        <v>42726</v>
      </c>
      <c r="B61" s="19" t="n">
        <v>-0.00172270055937263</v>
      </c>
    </row>
    <row r="62" customFormat="false" ht="15" hidden="false" customHeight="false" outlineLevel="0" collapsed="false">
      <c r="A62" s="17" t="n">
        <v>42727</v>
      </c>
      <c r="B62" s="19" t="n">
        <v>0.00195243106867693</v>
      </c>
    </row>
    <row r="63" customFormat="false" ht="15" hidden="false" customHeight="false" outlineLevel="0" collapsed="false">
      <c r="A63" s="17" t="n">
        <v>42731</v>
      </c>
      <c r="B63" s="19" t="n">
        <v>0.00195428137596454</v>
      </c>
    </row>
    <row r="64" customFormat="false" ht="15" hidden="false" customHeight="false" outlineLevel="0" collapsed="false">
      <c r="A64" s="17" t="n">
        <v>42732</v>
      </c>
      <c r="B64" s="19" t="n">
        <v>-0.00153137443021945</v>
      </c>
    </row>
    <row r="65" customFormat="false" ht="15" hidden="false" customHeight="false" outlineLevel="0" collapsed="false">
      <c r="A65" s="17" t="n">
        <v>42733</v>
      </c>
      <c r="B65" s="19" t="n">
        <v>0.00245413062765199</v>
      </c>
    </row>
    <row r="66" customFormat="false" ht="15" hidden="false" customHeight="false" outlineLevel="0" collapsed="false">
      <c r="A66" s="17" t="n">
        <v>42734</v>
      </c>
      <c r="B66" s="19" t="n">
        <v>-0.000383146584782557</v>
      </c>
    </row>
    <row r="67" customFormat="false" ht="15" hidden="false" customHeight="false" outlineLevel="0" collapsed="false">
      <c r="A67" s="17" t="n">
        <v>42738</v>
      </c>
      <c r="B67" s="19" t="n">
        <v>0.00472766855871054</v>
      </c>
    </row>
    <row r="68" customFormat="false" ht="15" hidden="false" customHeight="false" outlineLevel="0" collapsed="false">
      <c r="A68" s="17" t="n">
        <v>42739</v>
      </c>
      <c r="B68" s="19" t="n">
        <v>0.0045524138749391</v>
      </c>
    </row>
    <row r="69" customFormat="false" ht="15" hidden="false" customHeight="false" outlineLevel="0" collapsed="false">
      <c r="A69" s="17" t="n">
        <v>42740</v>
      </c>
      <c r="B69" s="19" t="n">
        <v>0.00387902784044147</v>
      </c>
    </row>
    <row r="70" customFormat="false" ht="15" hidden="false" customHeight="false" outlineLevel="0" collapsed="false">
      <c r="A70" s="17" t="n">
        <v>42741</v>
      </c>
      <c r="B70" s="19" t="n">
        <v>-0.00179964860007986</v>
      </c>
    </row>
    <row r="71" customFormat="false" ht="15" hidden="false" customHeight="false" outlineLevel="0" collapsed="false">
      <c r="A71" s="17" t="n">
        <v>42744</v>
      </c>
      <c r="B71" s="19" t="n">
        <v>-0.000458411962086291</v>
      </c>
    </row>
    <row r="72" customFormat="false" ht="15" hidden="false" customHeight="false" outlineLevel="0" collapsed="false">
      <c r="A72" s="17" t="n">
        <v>42745</v>
      </c>
      <c r="B72" s="19" t="n">
        <v>0.000479885339268682</v>
      </c>
    </row>
    <row r="73" customFormat="false" ht="15" hidden="false" customHeight="false" outlineLevel="0" collapsed="false">
      <c r="A73" s="17" t="n">
        <v>42746</v>
      </c>
      <c r="B73" s="19" t="n">
        <v>0.00210053545060163</v>
      </c>
    </row>
    <row r="74" customFormat="false" ht="15" hidden="false" customHeight="false" outlineLevel="0" collapsed="false">
      <c r="A74" s="17" t="n">
        <v>42747</v>
      </c>
      <c r="B74" s="19" t="n">
        <v>-0.000435119863685829</v>
      </c>
    </row>
    <row r="75" customFormat="false" ht="15" hidden="false" customHeight="false" outlineLevel="0" collapsed="false">
      <c r="A75" s="17" t="n">
        <v>42748</v>
      </c>
      <c r="B75" s="19" t="n">
        <v>0.000966167455291433</v>
      </c>
    </row>
    <row r="76" customFormat="false" ht="15" hidden="false" customHeight="false" outlineLevel="0" collapsed="false">
      <c r="A76" s="17" t="n">
        <v>42752</v>
      </c>
      <c r="B76" s="19" t="n">
        <v>-3.95335666913965E-006</v>
      </c>
    </row>
    <row r="77" customFormat="false" ht="15" hidden="false" customHeight="false" outlineLevel="0" collapsed="false">
      <c r="A77" s="17" t="n">
        <v>42753</v>
      </c>
      <c r="B77" s="19" t="n">
        <v>-0.00247459253048632</v>
      </c>
    </row>
    <row r="78" customFormat="false" ht="15" hidden="false" customHeight="false" outlineLevel="0" collapsed="false">
      <c r="A78" s="17" t="n">
        <v>42754</v>
      </c>
      <c r="B78" s="19" t="n">
        <v>-0.0020583639329631</v>
      </c>
    </row>
    <row r="79" customFormat="false" ht="15" hidden="false" customHeight="false" outlineLevel="0" collapsed="false">
      <c r="A79" s="17" t="n">
        <v>42755</v>
      </c>
      <c r="B79" s="19" t="n">
        <v>0.00215189515210223</v>
      </c>
    </row>
    <row r="80" customFormat="false" ht="15" hidden="false" customHeight="false" outlineLevel="0" collapsed="false">
      <c r="A80" s="17" t="n">
        <v>42758</v>
      </c>
      <c r="B80" s="19" t="n">
        <v>0.00292976340153728</v>
      </c>
    </row>
    <row r="81" customFormat="false" ht="15" hidden="false" customHeight="false" outlineLevel="0" collapsed="false">
      <c r="A81" s="17" t="n">
        <v>42759</v>
      </c>
      <c r="B81" s="19" t="n">
        <v>0.00267299099674889</v>
      </c>
    </row>
    <row r="82" customFormat="false" ht="15" hidden="false" customHeight="false" outlineLevel="0" collapsed="false">
      <c r="A82" s="17" t="n">
        <v>42760</v>
      </c>
      <c r="B82" s="19" t="n">
        <v>0.00202295406106501</v>
      </c>
    </row>
    <row r="83" customFormat="false" ht="15" hidden="false" customHeight="false" outlineLevel="0" collapsed="false">
      <c r="A83" s="17" t="n">
        <v>42761</v>
      </c>
      <c r="B83" s="19" t="n">
        <v>-0.00111660766603017</v>
      </c>
    </row>
    <row r="84" customFormat="false" ht="15" hidden="false" customHeight="false" outlineLevel="0" collapsed="false">
      <c r="A84" s="17" t="n">
        <v>42762</v>
      </c>
      <c r="B84" s="19" t="n">
        <v>-0.00077732145224596</v>
      </c>
    </row>
    <row r="85" customFormat="false" ht="15" hidden="false" customHeight="false" outlineLevel="0" collapsed="false">
      <c r="A85" s="17" t="n">
        <v>42765</v>
      </c>
      <c r="B85" s="19" t="n">
        <v>-0.00289350749554584</v>
      </c>
    </row>
    <row r="86" customFormat="false" ht="15" hidden="false" customHeight="false" outlineLevel="0" collapsed="false">
      <c r="A86" s="17" t="n">
        <v>42766</v>
      </c>
      <c r="B86" s="19" t="n">
        <v>0.00209959923872471</v>
      </c>
    </row>
    <row r="87" customFormat="false" ht="15" hidden="false" customHeight="false" outlineLevel="0" collapsed="false">
      <c r="A87" s="17" t="n">
        <v>42767</v>
      </c>
      <c r="B87" s="19" t="n">
        <v>-0.000942090037309606</v>
      </c>
    </row>
    <row r="88" customFormat="false" ht="15" hidden="false" customHeight="false" outlineLevel="0" collapsed="false">
      <c r="A88" s="17" t="n">
        <v>42768</v>
      </c>
      <c r="B88" s="19" t="n">
        <v>0.00141879156311409</v>
      </c>
    </row>
    <row r="89" customFormat="false" ht="15" hidden="false" customHeight="false" outlineLevel="0" collapsed="false">
      <c r="A89" s="17" t="n">
        <v>42769</v>
      </c>
      <c r="B89" s="19" t="n">
        <v>0.0030583869001144</v>
      </c>
    </row>
    <row r="90" customFormat="false" ht="15" hidden="false" customHeight="false" outlineLevel="0" collapsed="false">
      <c r="A90" s="17" t="n">
        <v>42772</v>
      </c>
      <c r="B90" s="19" t="n">
        <v>0.000367989182587181</v>
      </c>
    </row>
    <row r="91" customFormat="false" ht="15" hidden="false" customHeight="false" outlineLevel="0" collapsed="false">
      <c r="A91" s="17" t="n">
        <v>42773</v>
      </c>
      <c r="B91" s="19" t="n">
        <v>-0.00067866226197455</v>
      </c>
    </row>
    <row r="92" customFormat="false" ht="15" hidden="false" customHeight="false" outlineLevel="0" collapsed="false">
      <c r="A92" s="17" t="n">
        <v>42774</v>
      </c>
      <c r="B92" s="19" t="n">
        <v>0.00261526215423946</v>
      </c>
    </row>
    <row r="93" customFormat="false" ht="15" hidden="false" customHeight="false" outlineLevel="0" collapsed="false">
      <c r="A93" s="17" t="n">
        <v>42775</v>
      </c>
      <c r="B93" s="19" t="n">
        <v>0.00111608774326766</v>
      </c>
    </row>
    <row r="94" customFormat="false" ht="15" hidden="false" customHeight="false" outlineLevel="0" collapsed="false">
      <c r="A94" s="17" t="n">
        <v>42776</v>
      </c>
      <c r="B94" s="19" t="n">
        <v>0.00291852373879431</v>
      </c>
    </row>
    <row r="95" customFormat="false" ht="15" hidden="false" customHeight="false" outlineLevel="0" collapsed="false">
      <c r="A95" s="17" t="n">
        <v>42779</v>
      </c>
      <c r="B95" s="19" t="n">
        <v>0.00086273931160985</v>
      </c>
    </row>
    <row r="96" customFormat="false" ht="15" hidden="false" customHeight="false" outlineLevel="0" collapsed="false">
      <c r="A96" s="17" t="n">
        <v>42780</v>
      </c>
      <c r="B96" s="19" t="n">
        <v>-0.0001008853859088</v>
      </c>
    </row>
    <row r="97" customFormat="false" ht="15" hidden="false" customHeight="false" outlineLevel="0" collapsed="false">
      <c r="A97" s="17" t="n">
        <v>42781</v>
      </c>
      <c r="B97" s="19" t="n">
        <v>0.00270618139050116</v>
      </c>
    </row>
    <row r="98" customFormat="false" ht="15" hidden="false" customHeight="false" outlineLevel="0" collapsed="false">
      <c r="A98" s="17" t="n">
        <v>42782</v>
      </c>
      <c r="B98" s="19" t="n">
        <v>0.00061531534119319</v>
      </c>
    </row>
    <row r="99" customFormat="false" ht="15" hidden="false" customHeight="false" outlineLevel="0" collapsed="false">
      <c r="A99" s="17" t="n">
        <v>42783</v>
      </c>
      <c r="B99" s="19" t="n">
        <v>0.000810627145613196</v>
      </c>
    </row>
    <row r="100" customFormat="false" ht="15" hidden="false" customHeight="false" outlineLevel="0" collapsed="false">
      <c r="A100" s="17" t="n">
        <v>42787</v>
      </c>
      <c r="B100" s="19" t="n">
        <v>0.00197560415218367</v>
      </c>
    </row>
    <row r="101" customFormat="false" ht="15" hidden="false" customHeight="false" outlineLevel="0" collapsed="false">
      <c r="A101" s="17" t="n">
        <v>42788</v>
      </c>
      <c r="B101" s="19" t="n">
        <v>0.00025695996908226</v>
      </c>
    </row>
    <row r="102" customFormat="false" ht="15" hidden="false" customHeight="false" outlineLevel="0" collapsed="false">
      <c r="A102" s="17" t="n">
        <v>42789</v>
      </c>
      <c r="B102" s="19" t="n">
        <v>0.00146962981943077</v>
      </c>
    </row>
    <row r="103" customFormat="false" ht="15" hidden="false" customHeight="false" outlineLevel="0" collapsed="false">
      <c r="A103" s="17" t="n">
        <v>42790</v>
      </c>
      <c r="B103" s="19" t="n">
        <v>0.000661037974355461</v>
      </c>
    </row>
    <row r="104" customFormat="false" ht="15" hidden="false" customHeight="false" outlineLevel="0" collapsed="false">
      <c r="A104" s="17" t="n">
        <v>42793</v>
      </c>
      <c r="B104" s="19" t="n">
        <v>-0.000819608294928109</v>
      </c>
    </row>
    <row r="105" customFormat="false" ht="15" hidden="false" customHeight="false" outlineLevel="0" collapsed="false">
      <c r="A105" s="17" t="n">
        <v>42794</v>
      </c>
      <c r="B105" s="19" t="n">
        <v>-0.00266766794121243</v>
      </c>
    </row>
    <row r="106" customFormat="false" ht="15" hidden="false" customHeight="false" outlineLevel="0" collapsed="false">
      <c r="A106" s="17" t="n">
        <v>42795</v>
      </c>
      <c r="B106" s="19" t="n">
        <v>0.00387299955987985</v>
      </c>
    </row>
    <row r="107" customFormat="false" ht="15" hidden="false" customHeight="false" outlineLevel="0" collapsed="false">
      <c r="A107" s="17" t="n">
        <v>42796</v>
      </c>
      <c r="B107" s="19" t="n">
        <v>-0.00492591470841475</v>
      </c>
    </row>
    <row r="108" customFormat="false" ht="15" hidden="false" customHeight="false" outlineLevel="0" collapsed="false">
      <c r="A108" s="17" t="n">
        <v>42797</v>
      </c>
      <c r="B108" s="19" t="n">
        <v>0.00161197111829892</v>
      </c>
    </row>
    <row r="109" customFormat="false" ht="15" hidden="false" customHeight="false" outlineLevel="0" collapsed="false">
      <c r="A109" s="17" t="n">
        <v>42800</v>
      </c>
      <c r="B109" s="19" t="n">
        <v>-0.00215644291819783</v>
      </c>
    </row>
    <row r="110" customFormat="false" ht="15" hidden="false" customHeight="false" outlineLevel="0" collapsed="false">
      <c r="A110" s="17" t="n">
        <v>42801</v>
      </c>
      <c r="B110" s="19" t="n">
        <v>-0.00233980125807343</v>
      </c>
    </row>
    <row r="111" customFormat="false" ht="15" hidden="false" customHeight="false" outlineLevel="0" collapsed="false">
      <c r="A111" s="17" t="n">
        <v>42802</v>
      </c>
      <c r="B111" s="19" t="n">
        <v>-0.00449498827492711</v>
      </c>
    </row>
    <row r="112" customFormat="false" ht="15" hidden="false" customHeight="false" outlineLevel="0" collapsed="false">
      <c r="A112" s="17" t="n">
        <v>42803</v>
      </c>
      <c r="B112" s="19" t="n">
        <v>-0.00167810174999938</v>
      </c>
    </row>
    <row r="113" customFormat="false" ht="15" hidden="false" customHeight="false" outlineLevel="0" collapsed="false">
      <c r="A113" s="17" t="n">
        <v>42804</v>
      </c>
      <c r="B113" s="19" t="n">
        <v>0.00279595362228924</v>
      </c>
    </row>
    <row r="114" customFormat="false" ht="15" hidden="false" customHeight="false" outlineLevel="0" collapsed="false">
      <c r="A114" s="17" t="n">
        <v>42807</v>
      </c>
      <c r="B114" s="19" t="n">
        <v>0.000428590618232416</v>
      </c>
    </row>
    <row r="115" customFormat="false" ht="15" hidden="false" customHeight="false" outlineLevel="0" collapsed="false">
      <c r="A115" s="17" t="n">
        <v>42808</v>
      </c>
      <c r="B115" s="19" t="n">
        <v>-0.00283929651279102</v>
      </c>
    </row>
    <row r="116" customFormat="false" ht="15" hidden="false" customHeight="false" outlineLevel="0" collapsed="false">
      <c r="A116" s="17" t="n">
        <v>42809</v>
      </c>
      <c r="B116" s="19" t="n">
        <v>0.00969698206644809</v>
      </c>
    </row>
    <row r="117" customFormat="false" ht="15" hidden="false" customHeight="false" outlineLevel="0" collapsed="false">
      <c r="A117" s="17" t="n">
        <v>42810</v>
      </c>
      <c r="B117" s="19" t="n">
        <v>0.000877224628292206</v>
      </c>
    </row>
    <row r="118" customFormat="false" ht="15" hidden="false" customHeight="false" outlineLevel="0" collapsed="false">
      <c r="A118" s="17" t="n">
        <v>42811</v>
      </c>
      <c r="B118" s="19" t="n">
        <v>0.00082898758967076</v>
      </c>
    </row>
    <row r="119" customFormat="false" ht="15" hidden="false" customHeight="false" outlineLevel="0" collapsed="false">
      <c r="A119" s="17" t="n">
        <v>42814</v>
      </c>
      <c r="B119" s="19" t="n">
        <v>0.000934611732644752</v>
      </c>
    </row>
    <row r="120" customFormat="false" ht="15" hidden="false" customHeight="false" outlineLevel="0" collapsed="false">
      <c r="A120" s="17" t="n">
        <v>42815</v>
      </c>
      <c r="B120" s="19" t="n">
        <v>-0.00403290502402898</v>
      </c>
    </row>
    <row r="121" customFormat="false" ht="15" hidden="false" customHeight="false" outlineLevel="0" collapsed="false">
      <c r="A121" s="17" t="n">
        <v>42816</v>
      </c>
      <c r="B121" s="19" t="n">
        <v>0.00093156070943512</v>
      </c>
    </row>
    <row r="122" customFormat="false" ht="15" hidden="false" customHeight="false" outlineLevel="0" collapsed="false">
      <c r="A122" s="17" t="n">
        <v>42817</v>
      </c>
      <c r="B122" s="19" t="n">
        <v>0.000369911612011498</v>
      </c>
    </row>
    <row r="123" customFormat="false" ht="15" hidden="false" customHeight="false" outlineLevel="0" collapsed="false">
      <c r="A123" s="17" t="n">
        <v>42818</v>
      </c>
      <c r="B123" s="19" t="n">
        <v>0.000720075498848782</v>
      </c>
    </row>
    <row r="124" customFormat="false" ht="15" hidden="false" customHeight="false" outlineLevel="0" collapsed="false">
      <c r="A124" s="17" t="n">
        <v>42821</v>
      </c>
      <c r="B124" s="19" t="n">
        <v>0.000538858807994647</v>
      </c>
    </row>
    <row r="125" customFormat="false" ht="15" hidden="false" customHeight="false" outlineLevel="0" collapsed="false">
      <c r="A125" s="17" t="n">
        <v>42822</v>
      </c>
      <c r="B125" s="19" t="n">
        <v>0.00165172079536036</v>
      </c>
    </row>
    <row r="126" customFormat="false" ht="15" hidden="false" customHeight="false" outlineLevel="0" collapsed="false">
      <c r="A126" s="17" t="n">
        <v>42823</v>
      </c>
      <c r="B126" s="19" t="n">
        <v>0.00252325567866296</v>
      </c>
    </row>
    <row r="127" customFormat="false" ht="15" hidden="false" customHeight="false" outlineLevel="0" collapsed="false">
      <c r="A127" s="17" t="n">
        <v>42824</v>
      </c>
      <c r="B127" s="19" t="n">
        <v>-0.000626300535254032</v>
      </c>
    </row>
    <row r="128" customFormat="false" ht="15" hidden="false" customHeight="false" outlineLevel="0" collapsed="false">
      <c r="A128" s="17" t="n">
        <v>42825</v>
      </c>
      <c r="B128" s="19" t="n">
        <v>-0.000682446982771423</v>
      </c>
    </row>
    <row r="129" customFormat="false" ht="15" hidden="false" customHeight="false" outlineLevel="0" collapsed="false">
      <c r="A129" s="17" t="n">
        <v>42828</v>
      </c>
      <c r="B129" s="19" t="n">
        <v>0.00136017107844055</v>
      </c>
    </row>
    <row r="130" customFormat="false" ht="15" hidden="false" customHeight="false" outlineLevel="0" collapsed="false">
      <c r="A130" s="17" t="n">
        <v>42829</v>
      </c>
      <c r="B130" s="19" t="n">
        <v>0.00035242317422246</v>
      </c>
    </row>
    <row r="131" customFormat="false" ht="15" hidden="false" customHeight="false" outlineLevel="0" collapsed="false">
      <c r="A131" s="17" t="n">
        <v>42830</v>
      </c>
      <c r="B131" s="19" t="n">
        <v>-0.00076611456147091</v>
      </c>
    </row>
    <row r="132" customFormat="false" ht="15" hidden="false" customHeight="false" outlineLevel="0" collapsed="false">
      <c r="A132" s="17" t="n">
        <v>42831</v>
      </c>
      <c r="B132" s="19" t="n">
        <v>0.000950325223661119</v>
      </c>
    </row>
    <row r="133" customFormat="false" ht="15" hidden="false" customHeight="false" outlineLevel="0" collapsed="false">
      <c r="A133" s="17" t="n">
        <v>42832</v>
      </c>
      <c r="B133" s="19" t="n">
        <v>-0.00132797794826534</v>
      </c>
    </row>
    <row r="134" customFormat="false" ht="15" hidden="false" customHeight="false" outlineLevel="0" collapsed="false">
      <c r="A134" s="17" t="n">
        <v>42835</v>
      </c>
      <c r="B134" s="19" t="n">
        <v>0.000634379434336641</v>
      </c>
    </row>
    <row r="135" customFormat="false" ht="15" hidden="false" customHeight="false" outlineLevel="0" collapsed="false">
      <c r="A135" s="17" t="n">
        <v>42836</v>
      </c>
      <c r="B135" s="19" t="n">
        <v>0.00228063335070883</v>
      </c>
    </row>
    <row r="136" customFormat="false" ht="15" hidden="false" customHeight="false" outlineLevel="0" collapsed="false">
      <c r="A136" s="17" t="n">
        <v>42837</v>
      </c>
      <c r="B136" s="19" t="n">
        <v>0.000616054649074549</v>
      </c>
    </row>
    <row r="137" customFormat="false" ht="15" hidden="false" customHeight="false" outlineLevel="0" collapsed="false">
      <c r="A137" s="17" t="n">
        <v>42838</v>
      </c>
      <c r="B137" s="19" t="n">
        <v>-0.0023459414274658</v>
      </c>
    </row>
    <row r="138" customFormat="false" ht="15" hidden="false" customHeight="false" outlineLevel="0" collapsed="false">
      <c r="A138" s="17" t="n">
        <v>42842</v>
      </c>
      <c r="B138" s="19" t="n">
        <v>0.00328249659308755</v>
      </c>
    </row>
    <row r="139" customFormat="false" ht="15" hidden="false" customHeight="false" outlineLevel="0" collapsed="false">
      <c r="A139" s="17" t="n">
        <v>42843</v>
      </c>
      <c r="B139" s="19" t="n">
        <v>-0.000498877742604598</v>
      </c>
    </row>
    <row r="140" customFormat="false" ht="15" hidden="false" customHeight="false" outlineLevel="0" collapsed="false">
      <c r="A140" s="17" t="n">
        <v>42844</v>
      </c>
      <c r="B140" s="19" t="n">
        <v>-0.00271640170028475</v>
      </c>
    </row>
    <row r="141" customFormat="false" ht="15" hidden="false" customHeight="false" outlineLevel="0" collapsed="false">
      <c r="A141" s="17" t="n">
        <v>42845</v>
      </c>
      <c r="B141" s="19" t="n">
        <v>0.0033007147908366</v>
      </c>
    </row>
    <row r="142" customFormat="false" ht="15" hidden="false" customHeight="false" outlineLevel="0" collapsed="false">
      <c r="A142" s="17" t="n">
        <v>42846</v>
      </c>
      <c r="B142" s="19" t="n">
        <v>-0.000955473086492908</v>
      </c>
    </row>
    <row r="143" customFormat="false" ht="15" hidden="false" customHeight="false" outlineLevel="0" collapsed="false">
      <c r="A143" s="17" t="n">
        <v>42849</v>
      </c>
      <c r="B143" s="19" t="n">
        <v>0.004975092894004</v>
      </c>
    </row>
    <row r="144" customFormat="false" ht="15" hidden="false" customHeight="false" outlineLevel="0" collapsed="false">
      <c r="A144" s="17" t="n">
        <v>42850</v>
      </c>
      <c r="B144" s="19" t="n">
        <v>0.000949091173854555</v>
      </c>
    </row>
    <row r="145" customFormat="false" ht="15" hidden="false" customHeight="false" outlineLevel="0" collapsed="false">
      <c r="A145" s="17" t="n">
        <v>42851</v>
      </c>
      <c r="B145" s="19" t="n">
        <v>-0.000130360425606768</v>
      </c>
    </row>
    <row r="146" customFormat="false" ht="15" hidden="false" customHeight="false" outlineLevel="0" collapsed="false">
      <c r="A146" s="17" t="n">
        <v>42852</v>
      </c>
      <c r="B146" s="19" t="n">
        <v>0.000315861238786797</v>
      </c>
    </row>
    <row r="147" customFormat="false" ht="15" hidden="false" customHeight="false" outlineLevel="0" collapsed="false">
      <c r="A147" s="17" t="n">
        <v>42853</v>
      </c>
      <c r="B147" s="19" t="n">
        <v>-0.000401530296879504</v>
      </c>
    </row>
    <row r="148" customFormat="false" ht="15" hidden="false" customHeight="false" outlineLevel="0" collapsed="false">
      <c r="A148" s="17" t="n">
        <v>42856</v>
      </c>
      <c r="B148" s="19" t="n">
        <v>0.000436694079191113</v>
      </c>
    </row>
    <row r="149" customFormat="false" ht="15" hidden="false" customHeight="false" outlineLevel="0" collapsed="false">
      <c r="A149" s="17" t="n">
        <v>42857</v>
      </c>
      <c r="B149" s="19" t="n">
        <v>0.00107787157111861</v>
      </c>
    </row>
    <row r="150" customFormat="false" ht="15" hidden="false" customHeight="false" outlineLevel="0" collapsed="false">
      <c r="A150" s="17" t="n">
        <v>42858</v>
      </c>
      <c r="B150" s="19" t="n">
        <v>-0.00340017341812449</v>
      </c>
    </row>
    <row r="151" customFormat="false" ht="15" hidden="false" customHeight="false" outlineLevel="0" collapsed="false">
      <c r="A151" s="17" t="n">
        <v>42859</v>
      </c>
      <c r="B151" s="19" t="n">
        <v>-0.00096534579784624</v>
      </c>
    </row>
    <row r="152" customFormat="false" ht="15" hidden="false" customHeight="false" outlineLevel="0" collapsed="false">
      <c r="A152" s="17" t="n">
        <v>42860</v>
      </c>
      <c r="B152" s="19" t="n">
        <v>0.0032048793132089</v>
      </c>
    </row>
    <row r="153" customFormat="false" ht="15" hidden="false" customHeight="false" outlineLevel="0" collapsed="false">
      <c r="A153" s="17" t="n">
        <v>42863</v>
      </c>
      <c r="B153" s="19" t="n">
        <v>-0.00243321700153343</v>
      </c>
    </row>
    <row r="154" customFormat="false" ht="15" hidden="false" customHeight="false" outlineLevel="0" collapsed="false">
      <c r="A154" s="17" t="n">
        <v>42864</v>
      </c>
      <c r="B154" s="19" t="n">
        <v>9.58367752779132E-006</v>
      </c>
    </row>
    <row r="155" customFormat="false" ht="15" hidden="false" customHeight="false" outlineLevel="0" collapsed="false">
      <c r="A155" s="17" t="n">
        <v>42865</v>
      </c>
      <c r="B155" s="19" t="n">
        <v>0.00145946247384088</v>
      </c>
    </row>
    <row r="156" customFormat="false" ht="15" hidden="false" customHeight="false" outlineLevel="0" collapsed="false">
      <c r="A156" s="17" t="n">
        <v>42866</v>
      </c>
      <c r="B156" s="19" t="n">
        <v>-0.000482524460148737</v>
      </c>
    </row>
    <row r="157" customFormat="false" ht="15" hidden="false" customHeight="false" outlineLevel="0" collapsed="false">
      <c r="A157" s="17" t="n">
        <v>42867</v>
      </c>
      <c r="B157" s="19" t="n">
        <v>0.0011752041234494</v>
      </c>
    </row>
    <row r="158" customFormat="false" ht="15" hidden="false" customHeight="false" outlineLevel="0" collapsed="false">
      <c r="A158" s="17" t="n">
        <v>42870</v>
      </c>
      <c r="B158" s="19" t="n">
        <v>0.00229652474789099</v>
      </c>
    </row>
    <row r="159" customFormat="false" ht="15" hidden="false" customHeight="false" outlineLevel="0" collapsed="false">
      <c r="A159" s="17" t="n">
        <v>42871</v>
      </c>
      <c r="B159" s="19" t="n">
        <v>0.0010422632047089</v>
      </c>
    </row>
    <row r="160" customFormat="false" ht="15" hidden="false" customHeight="false" outlineLevel="0" collapsed="false">
      <c r="A160" s="17" t="n">
        <v>42872</v>
      </c>
      <c r="B160" s="19" t="n">
        <v>-0.00424360781187283</v>
      </c>
    </row>
    <row r="161" customFormat="false" ht="15" hidden="false" customHeight="false" outlineLevel="0" collapsed="false">
      <c r="A161" s="17" t="n">
        <v>42873</v>
      </c>
      <c r="B161" s="19" t="n">
        <v>8.66081848607259E-005</v>
      </c>
    </row>
    <row r="162" customFormat="false" ht="15" hidden="false" customHeight="false" outlineLevel="0" collapsed="false">
      <c r="A162" s="17" t="n">
        <v>42874</v>
      </c>
      <c r="B162" s="19" t="n">
        <v>0.00506251001868052</v>
      </c>
    </row>
    <row r="163" customFormat="false" ht="15" hidden="false" customHeight="false" outlineLevel="0" collapsed="false">
      <c r="A163" s="17" t="n">
        <v>42877</v>
      </c>
      <c r="B163" s="19" t="n">
        <v>0.00147554509617209</v>
      </c>
    </row>
    <row r="164" customFormat="false" ht="15" hidden="false" customHeight="false" outlineLevel="0" collapsed="false">
      <c r="A164" s="17" t="n">
        <v>42878</v>
      </c>
      <c r="B164" s="19" t="n">
        <v>-0.00077565783598077</v>
      </c>
    </row>
    <row r="165" customFormat="false" ht="15" hidden="false" customHeight="false" outlineLevel="0" collapsed="false">
      <c r="A165" s="17" t="n">
        <v>42879</v>
      </c>
      <c r="B165" s="19" t="n">
        <v>0.00209311787789357</v>
      </c>
    </row>
    <row r="166" customFormat="false" ht="15" hidden="false" customHeight="false" outlineLevel="0" collapsed="false">
      <c r="A166" s="17" t="n">
        <v>42880</v>
      </c>
      <c r="B166" s="19" t="n">
        <v>0.000940067487674279</v>
      </c>
    </row>
    <row r="167" customFormat="false" ht="15" hidden="false" customHeight="false" outlineLevel="0" collapsed="false">
      <c r="A167" s="17" t="n">
        <v>42881</v>
      </c>
      <c r="B167" s="19" t="n">
        <v>0.000585310526877159</v>
      </c>
    </row>
    <row r="168" customFormat="false" ht="15" hidden="false" customHeight="false" outlineLevel="0" collapsed="false">
      <c r="A168" s="17" t="n">
        <v>42885</v>
      </c>
      <c r="B168" s="19" t="n">
        <v>-0.000207777966225509</v>
      </c>
    </row>
    <row r="169" customFormat="false" ht="15" hidden="false" customHeight="false" outlineLevel="0" collapsed="false">
      <c r="A169" s="17" t="n">
        <v>42886</v>
      </c>
      <c r="B169" s="19" t="n">
        <v>-0.000401483512108336</v>
      </c>
    </row>
    <row r="170" customFormat="false" ht="15" hidden="false" customHeight="false" outlineLevel="0" collapsed="false">
      <c r="A170" s="17" t="n">
        <v>42887</v>
      </c>
      <c r="B170" s="19" t="n">
        <v>0.00436404982311678</v>
      </c>
    </row>
    <row r="171" customFormat="false" ht="15" hidden="false" customHeight="false" outlineLevel="0" collapsed="false">
      <c r="A171" s="17" t="n">
        <v>42888</v>
      </c>
      <c r="B171" s="19" t="n">
        <v>0.00394440878799873</v>
      </c>
    </row>
    <row r="172" customFormat="false" ht="15" hidden="false" customHeight="false" outlineLevel="0" collapsed="false">
      <c r="A172" s="17" t="n">
        <v>42891</v>
      </c>
      <c r="B172" s="19" t="n">
        <v>-0.00161830384188499</v>
      </c>
    </row>
    <row r="173" customFormat="false" ht="15" hidden="false" customHeight="false" outlineLevel="0" collapsed="false">
      <c r="A173" s="17" t="n">
        <v>42892</v>
      </c>
      <c r="B173" s="19" t="n">
        <v>0.000727141629880412</v>
      </c>
    </row>
    <row r="174" customFormat="false" ht="15" hidden="false" customHeight="false" outlineLevel="0" collapsed="false">
      <c r="A174" s="17" t="n">
        <v>42893</v>
      </c>
      <c r="B174" s="19" t="n">
        <v>-0.000581635492684529</v>
      </c>
    </row>
    <row r="175" customFormat="false" ht="15" hidden="false" customHeight="false" outlineLevel="0" collapsed="false">
      <c r="A175" s="17" t="n">
        <v>42894</v>
      </c>
      <c r="B175" s="19" t="n">
        <v>-0.000535048248288539</v>
      </c>
    </row>
    <row r="176" customFormat="false" ht="15" hidden="false" customHeight="false" outlineLevel="0" collapsed="false">
      <c r="A176" s="17" t="n">
        <v>42895</v>
      </c>
      <c r="B176" s="19" t="n">
        <v>-0.00148239521938154</v>
      </c>
    </row>
    <row r="177" customFormat="false" ht="15" hidden="false" customHeight="false" outlineLevel="0" collapsed="false">
      <c r="A177" s="17" t="n">
        <v>42898</v>
      </c>
      <c r="B177" s="19" t="n">
        <v>-0.00120213061864649</v>
      </c>
    </row>
    <row r="178" customFormat="false" ht="15" hidden="false" customHeight="false" outlineLevel="0" collapsed="false">
      <c r="A178" s="17" t="n">
        <v>42899</v>
      </c>
      <c r="B178" s="19" t="n">
        <v>0.0028607695237961</v>
      </c>
    </row>
    <row r="179" customFormat="false" ht="15" hidden="false" customHeight="false" outlineLevel="0" collapsed="false">
      <c r="A179" s="17" t="n">
        <v>42900</v>
      </c>
      <c r="B179" s="19" t="n">
        <v>-6.38043632283925E-005</v>
      </c>
    </row>
    <row r="180" customFormat="false" ht="15" hidden="false" customHeight="false" outlineLevel="0" collapsed="false">
      <c r="A180" s="17" t="n">
        <v>42901</v>
      </c>
      <c r="B180" s="19" t="n">
        <v>-0.00266345206703389</v>
      </c>
    </row>
    <row r="181" customFormat="false" ht="15" hidden="false" customHeight="false" outlineLevel="0" collapsed="false">
      <c r="A181" s="17" t="n">
        <v>42902</v>
      </c>
      <c r="B181" s="19" t="n">
        <v>0.00114144410928252</v>
      </c>
    </row>
    <row r="182" customFormat="false" ht="15" hidden="false" customHeight="false" outlineLevel="0" collapsed="false">
      <c r="A182" s="17" t="n">
        <v>42905</v>
      </c>
      <c r="B182" s="19" t="n">
        <v>0.00304810597861671</v>
      </c>
    </row>
    <row r="183" customFormat="false" ht="15" hidden="false" customHeight="false" outlineLevel="0" collapsed="false">
      <c r="A183" s="17" t="n">
        <v>42906</v>
      </c>
      <c r="B183" s="19" t="n">
        <v>-0.00330242104058631</v>
      </c>
    </row>
    <row r="184" customFormat="false" ht="15" hidden="false" customHeight="false" outlineLevel="0" collapsed="false">
      <c r="A184" s="17" t="n">
        <v>42907</v>
      </c>
      <c r="B184" s="19" t="n">
        <v>0.00215595014516112</v>
      </c>
    </row>
    <row r="185" customFormat="false" ht="15" hidden="false" customHeight="false" outlineLevel="0" collapsed="false">
      <c r="A185" s="17" t="n">
        <v>42908</v>
      </c>
      <c r="B185" s="19" t="n">
        <v>0.00200942581040486</v>
      </c>
    </row>
    <row r="186" customFormat="false" ht="15" hidden="false" customHeight="false" outlineLevel="0" collapsed="false">
      <c r="A186" s="17" t="n">
        <v>42909</v>
      </c>
      <c r="B186" s="19" t="n">
        <v>0.00194151167688705</v>
      </c>
    </row>
    <row r="187" customFormat="false" ht="15" hidden="false" customHeight="false" outlineLevel="0" collapsed="false">
      <c r="A187" s="17" t="n">
        <v>42912</v>
      </c>
      <c r="B187" s="19" t="n">
        <v>0.000552598567425289</v>
      </c>
    </row>
    <row r="188" customFormat="false" ht="15" hidden="false" customHeight="false" outlineLevel="0" collapsed="false">
      <c r="A188" s="17" t="n">
        <v>42913</v>
      </c>
      <c r="B188" s="19" t="n">
        <v>-0.0040977000725162</v>
      </c>
    </row>
    <row r="189" customFormat="false" ht="15" hidden="false" customHeight="false" outlineLevel="0" collapsed="false">
      <c r="A189" s="17" t="n">
        <v>42914</v>
      </c>
      <c r="B189" s="19" t="n">
        <v>0.00414155035138819</v>
      </c>
    </row>
    <row r="190" customFormat="false" ht="15" hidden="false" customHeight="false" outlineLevel="0" collapsed="false">
      <c r="A190" s="17" t="n">
        <v>42915</v>
      </c>
      <c r="B190" s="19" t="n">
        <v>-0.00591464083218496</v>
      </c>
    </row>
    <row r="191" customFormat="false" ht="15" hidden="false" customHeight="false" outlineLevel="0" collapsed="false">
      <c r="A191" s="17" t="n">
        <v>42916</v>
      </c>
      <c r="B191" s="19" t="n">
        <v>0.000631553727552081</v>
      </c>
    </row>
    <row r="192" customFormat="false" ht="15" hidden="false" customHeight="false" outlineLevel="0" collapsed="false">
      <c r="A192" s="17" t="n">
        <v>42919</v>
      </c>
      <c r="B192" s="19" t="n">
        <v>0.000301089512525055</v>
      </c>
    </row>
    <row r="193" customFormat="false" ht="15" hidden="false" customHeight="false" outlineLevel="0" collapsed="false">
      <c r="A193" s="17" t="n">
        <v>42921</v>
      </c>
      <c r="B193" s="19" t="n">
        <v>-0.00106105568980197</v>
      </c>
    </row>
    <row r="194" customFormat="false" ht="15" hidden="false" customHeight="false" outlineLevel="0" collapsed="false">
      <c r="A194" s="17" t="n">
        <v>42922</v>
      </c>
      <c r="B194" s="19" t="n">
        <v>-0.00544673202914747</v>
      </c>
    </row>
    <row r="195" customFormat="false" ht="15" hidden="false" customHeight="false" outlineLevel="0" collapsed="false">
      <c r="A195" s="17" t="n">
        <v>42923</v>
      </c>
      <c r="B195" s="19" t="n">
        <v>0.00102444580264116</v>
      </c>
    </row>
    <row r="196" customFormat="false" ht="15" hidden="false" customHeight="false" outlineLevel="0" collapsed="false">
      <c r="A196" s="17" t="n">
        <v>42926</v>
      </c>
      <c r="B196" s="19" t="n">
        <v>0.000853060052990129</v>
      </c>
    </row>
    <row r="197" customFormat="false" ht="15" hidden="false" customHeight="false" outlineLevel="0" collapsed="false">
      <c r="A197" s="17" t="n">
        <v>42927</v>
      </c>
      <c r="B197" s="19" t="n">
        <v>0.00152755554805917</v>
      </c>
    </row>
    <row r="198" customFormat="false" ht="15" hidden="false" customHeight="false" outlineLevel="0" collapsed="false">
      <c r="A198" s="17" t="n">
        <v>42928</v>
      </c>
      <c r="B198" s="19" t="n">
        <v>0.00551751831618086</v>
      </c>
    </row>
    <row r="199" customFormat="false" ht="15" hidden="false" customHeight="false" outlineLevel="0" collapsed="false">
      <c r="A199" s="17" t="n">
        <v>42929</v>
      </c>
      <c r="B199" s="19" t="n">
        <v>0.00109378837927632</v>
      </c>
    </row>
    <row r="200" customFormat="false" ht="15" hidden="false" customHeight="false" outlineLevel="0" collapsed="false">
      <c r="A200" s="17" t="n">
        <v>42930</v>
      </c>
      <c r="B200" s="19" t="n">
        <v>0.00379579575401334</v>
      </c>
    </row>
    <row r="201" customFormat="false" ht="15" hidden="false" customHeight="false" outlineLevel="0" collapsed="false">
      <c r="A201" s="17" t="n">
        <v>42933</v>
      </c>
      <c r="B201" s="19" t="n">
        <v>0.00050217717771317</v>
      </c>
    </row>
    <row r="202" customFormat="false" ht="15" hidden="false" customHeight="false" outlineLevel="0" collapsed="false">
      <c r="A202" s="17" t="n">
        <v>42934</v>
      </c>
      <c r="B202" s="19" t="n">
        <v>0.00173479929225628</v>
      </c>
    </row>
    <row r="203" customFormat="false" ht="15" hidden="false" customHeight="false" outlineLevel="0" collapsed="false">
      <c r="A203" s="17" t="n">
        <v>42935</v>
      </c>
      <c r="B203" s="19" t="n">
        <v>0.00268307772373722</v>
      </c>
    </row>
    <row r="204" customFormat="false" ht="15" hidden="false" customHeight="false" outlineLevel="0" collapsed="false">
      <c r="A204" s="17" t="n">
        <v>42936</v>
      </c>
      <c r="B204" s="19" t="n">
        <v>8.89423567509429E-005</v>
      </c>
    </row>
    <row r="205" customFormat="false" ht="15" hidden="false" customHeight="false" outlineLevel="0" collapsed="false">
      <c r="A205" s="17" t="n">
        <v>42937</v>
      </c>
      <c r="B205" s="19" t="n">
        <v>0.000169286513188593</v>
      </c>
    </row>
    <row r="206" customFormat="false" ht="15" hidden="false" customHeight="false" outlineLevel="0" collapsed="false">
      <c r="A206" s="17" t="n">
        <v>42940</v>
      </c>
      <c r="B206" s="19" t="n">
        <v>0.000126952762911525</v>
      </c>
    </row>
    <row r="207" customFormat="false" ht="15" hidden="false" customHeight="false" outlineLevel="0" collapsed="false">
      <c r="A207" s="17" t="n">
        <v>42941</v>
      </c>
      <c r="B207" s="19" t="n">
        <v>-0.000888275536600869</v>
      </c>
    </row>
    <row r="208" customFormat="false" ht="15" hidden="false" customHeight="false" outlineLevel="0" collapsed="false">
      <c r="A208" s="17" t="n">
        <v>42942</v>
      </c>
      <c r="B208" s="19" t="n">
        <v>0.00248693401987055</v>
      </c>
    </row>
    <row r="209" customFormat="false" ht="15" hidden="false" customHeight="false" outlineLevel="0" collapsed="false">
      <c r="A209" s="17" t="n">
        <v>42943</v>
      </c>
      <c r="B209" s="19" t="n">
        <v>-0.00163709099167164</v>
      </c>
    </row>
    <row r="210" customFormat="false" ht="15" hidden="false" customHeight="false" outlineLevel="0" collapsed="false">
      <c r="A210" s="17" t="n">
        <v>42944</v>
      </c>
      <c r="B210" s="19" t="n">
        <v>0.00117756818503279</v>
      </c>
    </row>
    <row r="211" customFormat="false" ht="15" hidden="false" customHeight="false" outlineLevel="0" collapsed="false">
      <c r="A211" s="17" t="n">
        <v>42947</v>
      </c>
      <c r="B211" s="19" t="n">
        <v>0.000160399668370337</v>
      </c>
    </row>
    <row r="212" customFormat="false" ht="15" hidden="false" customHeight="false" outlineLevel="0" collapsed="false">
      <c r="A212" s="17" t="n">
        <v>42948</v>
      </c>
      <c r="B212" s="19" t="n">
        <v>0.00199009995850519</v>
      </c>
    </row>
    <row r="213" customFormat="false" ht="15" hidden="false" customHeight="false" outlineLevel="0" collapsed="false">
      <c r="A213" s="17" t="n">
        <v>42949</v>
      </c>
      <c r="B213" s="19" t="n">
        <v>-0.000925192017021348</v>
      </c>
    </row>
    <row r="214" customFormat="false" ht="15" hidden="false" customHeight="false" outlineLevel="0" collapsed="false">
      <c r="A214" s="17" t="n">
        <v>42950</v>
      </c>
      <c r="B214" s="19" t="n">
        <v>0.000278412690699614</v>
      </c>
    </row>
    <row r="215" customFormat="false" ht="15" hidden="false" customHeight="false" outlineLevel="0" collapsed="false">
      <c r="A215" s="17" t="n">
        <v>42951</v>
      </c>
      <c r="B215" s="19" t="n">
        <v>-0.000176077794996288</v>
      </c>
    </row>
    <row r="216" customFormat="false" ht="15" hidden="false" customHeight="false" outlineLevel="0" collapsed="false">
      <c r="A216" s="17" t="n">
        <v>42954</v>
      </c>
      <c r="B216" s="19" t="n">
        <v>0.00142367074620298</v>
      </c>
    </row>
    <row r="217" customFormat="false" ht="15" hidden="false" customHeight="false" outlineLevel="0" collapsed="false">
      <c r="A217" s="17" t="n">
        <v>42955</v>
      </c>
      <c r="B217" s="19" t="n">
        <v>-0.00175470296765024</v>
      </c>
    </row>
    <row r="218" customFormat="false" ht="15" hidden="false" customHeight="false" outlineLevel="0" collapsed="false">
      <c r="A218" s="17" t="n">
        <v>42956</v>
      </c>
      <c r="B218" s="19" t="n">
        <v>0.000320724410582063</v>
      </c>
    </row>
    <row r="219" customFormat="false" ht="15" hidden="false" customHeight="false" outlineLevel="0" collapsed="false">
      <c r="A219" s="17" t="n">
        <v>42957</v>
      </c>
      <c r="B219" s="19" t="n">
        <v>-0.00572893597327007</v>
      </c>
    </row>
    <row r="220" customFormat="false" ht="15" hidden="false" customHeight="false" outlineLevel="0" collapsed="false">
      <c r="A220" s="17" t="n">
        <v>42958</v>
      </c>
      <c r="B220" s="19" t="n">
        <v>0.000829506680720238</v>
      </c>
    </row>
    <row r="221" customFormat="false" ht="15" hidden="false" customHeight="false" outlineLevel="0" collapsed="false">
      <c r="A221" s="17" t="n">
        <v>42961</v>
      </c>
      <c r="B221" s="19" t="n">
        <v>0.00275808574283998</v>
      </c>
    </row>
    <row r="222" customFormat="false" ht="15" hidden="false" customHeight="false" outlineLevel="0" collapsed="false">
      <c r="A222" s="17" t="n">
        <v>42962</v>
      </c>
      <c r="B222" s="19" t="n">
        <v>-0.00156520744757527</v>
      </c>
    </row>
    <row r="223" customFormat="false" ht="15" hidden="false" customHeight="false" outlineLevel="0" collapsed="false">
      <c r="A223" s="17" t="n">
        <v>42963</v>
      </c>
      <c r="B223" s="19" t="n">
        <v>0.00283484893357455</v>
      </c>
    </row>
    <row r="224" customFormat="false" ht="15" hidden="false" customHeight="false" outlineLevel="0" collapsed="false">
      <c r="A224" s="17" t="n">
        <v>42964</v>
      </c>
      <c r="B224" s="19" t="n">
        <v>-0.00497113236176028</v>
      </c>
    </row>
    <row r="225" customFormat="false" ht="15" hidden="false" customHeight="false" outlineLevel="0" collapsed="false">
      <c r="A225" s="17" t="n">
        <v>42965</v>
      </c>
      <c r="B225" s="19" t="n">
        <v>2.39107187296472E-005</v>
      </c>
    </row>
    <row r="226" customFormat="false" ht="15" hidden="false" customHeight="false" outlineLevel="0" collapsed="false">
      <c r="A226" s="17" t="n">
        <v>42968</v>
      </c>
      <c r="B226" s="19" t="n">
        <v>0.00132518982297669</v>
      </c>
    </row>
    <row r="227" customFormat="false" ht="15" hidden="false" customHeight="false" outlineLevel="0" collapsed="false">
      <c r="A227" s="17" t="n">
        <v>42969</v>
      </c>
      <c r="B227" s="19" t="n">
        <v>0.00323471123436647</v>
      </c>
    </row>
    <row r="228" customFormat="false" ht="15" hidden="false" customHeight="false" outlineLevel="0" collapsed="false">
      <c r="A228" s="17" t="n">
        <v>42970</v>
      </c>
      <c r="B228" s="19" t="n">
        <v>0.00129493700289785</v>
      </c>
    </row>
    <row r="229" customFormat="false" ht="15" hidden="false" customHeight="false" outlineLevel="0" collapsed="false">
      <c r="A229" s="17" t="n">
        <v>42971</v>
      </c>
      <c r="B229" s="19" t="n">
        <v>-0.00164186232015107</v>
      </c>
    </row>
    <row r="230" customFormat="false" ht="15" hidden="false" customHeight="false" outlineLevel="0" collapsed="false">
      <c r="A230" s="17" t="n">
        <v>42972</v>
      </c>
      <c r="B230" s="19" t="n">
        <v>0.002697398409923</v>
      </c>
    </row>
    <row r="231" customFormat="false" ht="15" hidden="false" customHeight="false" outlineLevel="0" collapsed="false">
      <c r="A231" s="17" t="n">
        <v>42975</v>
      </c>
      <c r="B231" s="19" t="n">
        <v>0.00111627527711256</v>
      </c>
    </row>
    <row r="232" customFormat="false" ht="15" hidden="false" customHeight="false" outlineLevel="0" collapsed="false">
      <c r="A232" s="17" t="n">
        <v>42976</v>
      </c>
      <c r="B232" s="19" t="n">
        <v>5.39278293480994E-005</v>
      </c>
    </row>
    <row r="233" customFormat="false" ht="15" hidden="false" customHeight="false" outlineLevel="0" collapsed="false">
      <c r="A233" s="17" t="n">
        <v>42977</v>
      </c>
      <c r="B233" s="19" t="n">
        <v>0.00119680880818485</v>
      </c>
    </row>
    <row r="234" customFormat="false" ht="15" hidden="false" customHeight="false" outlineLevel="0" collapsed="false">
      <c r="A234" s="17" t="n">
        <v>42978</v>
      </c>
      <c r="B234" s="19" t="n">
        <v>0.00446661894590106</v>
      </c>
    </row>
    <row r="235" customFormat="false" ht="15" hidden="false" customHeight="false" outlineLevel="0" collapsed="false">
      <c r="A235" s="17" t="n">
        <v>42979</v>
      </c>
      <c r="B235" s="19" t="n">
        <v>0.000858510074982721</v>
      </c>
    </row>
    <row r="236" customFormat="false" ht="15" hidden="false" customHeight="false" outlineLevel="0" collapsed="false">
      <c r="A236" s="17" t="n">
        <v>42983</v>
      </c>
      <c r="B236" s="19" t="n">
        <v>-0.000773057796490839</v>
      </c>
    </row>
    <row r="237" customFormat="false" ht="15" hidden="false" customHeight="false" outlineLevel="0" collapsed="false">
      <c r="A237" s="17" t="n">
        <v>42984</v>
      </c>
      <c r="B237" s="19" t="n">
        <v>0.00118547514391798</v>
      </c>
    </row>
    <row r="238" customFormat="false" ht="15" hidden="false" customHeight="false" outlineLevel="0" collapsed="false">
      <c r="A238" s="17" t="n">
        <v>42985</v>
      </c>
      <c r="B238" s="19" t="n">
        <v>0.00336874190236536</v>
      </c>
    </row>
    <row r="239" customFormat="false" ht="15" hidden="false" customHeight="false" outlineLevel="0" collapsed="false">
      <c r="A239" s="17" t="n">
        <v>42986</v>
      </c>
      <c r="B239" s="19" t="n">
        <v>-0.000822632655559819</v>
      </c>
    </row>
    <row r="240" customFormat="false" ht="15" hidden="false" customHeight="false" outlineLevel="0" collapsed="false">
      <c r="A240" s="17" t="n">
        <v>42989</v>
      </c>
      <c r="B240" s="19" t="n">
        <v>0.00255463612855555</v>
      </c>
    </row>
    <row r="241" customFormat="false" ht="15" hidden="false" customHeight="false" outlineLevel="0" collapsed="false">
      <c r="A241" s="17" t="n">
        <v>42990</v>
      </c>
      <c r="B241" s="19" t="n">
        <v>0.000297393205403562</v>
      </c>
    </row>
    <row r="242" customFormat="false" ht="15" hidden="false" customHeight="false" outlineLevel="0" collapsed="false">
      <c r="A242" s="17" t="n">
        <v>42991</v>
      </c>
      <c r="B242" s="19" t="n">
        <v>-0.00197476906018934</v>
      </c>
    </row>
    <row r="243" customFormat="false" ht="15" hidden="false" customHeight="false" outlineLevel="0" collapsed="false">
      <c r="A243" s="17" t="n">
        <v>42992</v>
      </c>
      <c r="B243" s="19" t="n">
        <v>0.000883584547805905</v>
      </c>
    </row>
    <row r="244" customFormat="false" ht="15" hidden="false" customHeight="false" outlineLevel="0" collapsed="false">
      <c r="A244" s="17" t="n">
        <v>42993</v>
      </c>
      <c r="B244" s="19" t="n">
        <v>0.000916601810155848</v>
      </c>
    </row>
    <row r="245" customFormat="false" ht="15" hidden="false" customHeight="false" outlineLevel="0" collapsed="false">
      <c r="A245" s="17" t="n">
        <v>42996</v>
      </c>
      <c r="B245" s="19" t="n">
        <v>-0.000639055240892028</v>
      </c>
    </row>
    <row r="246" customFormat="false" ht="15" hidden="false" customHeight="false" outlineLevel="0" collapsed="false">
      <c r="A246" s="17" t="n">
        <v>42997</v>
      </c>
      <c r="B246" s="19" t="n">
        <v>0.000192792161183952</v>
      </c>
    </row>
    <row r="247" customFormat="false" ht="15" hidden="false" customHeight="false" outlineLevel="0" collapsed="false">
      <c r="A247" s="17" t="n">
        <v>42998</v>
      </c>
      <c r="B247" s="19" t="n">
        <v>-0.00119324172479529</v>
      </c>
    </row>
    <row r="248" customFormat="false" ht="15" hidden="false" customHeight="false" outlineLevel="0" collapsed="false">
      <c r="A248" s="17" t="n">
        <v>42999</v>
      </c>
      <c r="B248" s="19" t="n">
        <v>-0.00189706428411718</v>
      </c>
    </row>
    <row r="249" customFormat="false" ht="15" hidden="false" customHeight="false" outlineLevel="0" collapsed="false">
      <c r="A249" s="17" t="n">
        <v>43000</v>
      </c>
      <c r="B249" s="19" t="n">
        <v>0.000673561812426504</v>
      </c>
    </row>
    <row r="250" customFormat="false" ht="15" hidden="false" customHeight="false" outlineLevel="0" collapsed="false">
      <c r="A250" s="17" t="n">
        <v>43003</v>
      </c>
      <c r="B250" s="19" t="n">
        <v>-0.000567140270698374</v>
      </c>
    </row>
    <row r="251" customFormat="false" ht="15" hidden="false" customHeight="false" outlineLevel="0" collapsed="false">
      <c r="A251" s="17" t="n">
        <v>43004</v>
      </c>
      <c r="B251" s="19" t="n">
        <v>-0.00130415171939136</v>
      </c>
    </row>
    <row r="252" customFormat="false" ht="15" hidden="false" customHeight="false" outlineLevel="0" collapsed="false">
      <c r="A252" s="17" t="n">
        <v>43005</v>
      </c>
      <c r="B252" s="19" t="n">
        <v>-0.00111558379479282</v>
      </c>
    </row>
    <row r="253" customFormat="false" ht="15" hidden="false" customHeight="false" outlineLevel="0" collapsed="false">
      <c r="A253" s="17" t="n">
        <v>43006</v>
      </c>
      <c r="B253" s="19" t="n">
        <v>0.00140959611559022</v>
      </c>
    </row>
    <row r="254" customFormat="false" ht="15" hidden="false" customHeight="false" outlineLevel="0" collapsed="false">
      <c r="A254" s="17" t="n">
        <v>43007</v>
      </c>
      <c r="B254" s="19" t="n">
        <v>0.00149676150997968</v>
      </c>
    </row>
    <row r="255" customFormat="false" ht="15" hidden="false" customHeight="false" outlineLevel="0" collapsed="false">
      <c r="A255" s="17" t="n">
        <v>43010</v>
      </c>
      <c r="B255" s="19" t="n">
        <v>0.000391132326236887</v>
      </c>
    </row>
    <row r="256" customFormat="false" ht="15" hidden="false" customHeight="false" outlineLevel="0" collapsed="false">
      <c r="A256" s="17" t="n">
        <v>43011</v>
      </c>
      <c r="B256" s="19" t="n">
        <v>0.00222041948562302</v>
      </c>
    </row>
    <row r="257" customFormat="false" ht="15" hidden="false" customHeight="false" outlineLevel="0" collapsed="false">
      <c r="A257" s="17" t="n">
        <v>43012</v>
      </c>
      <c r="B257" s="19" t="n">
        <v>0.000501416145880063</v>
      </c>
    </row>
    <row r="258" customFormat="false" ht="15" hidden="false" customHeight="false" outlineLevel="0" collapsed="false">
      <c r="A258" s="17" t="n">
        <v>43013</v>
      </c>
      <c r="B258" s="19" t="n">
        <v>0.00122731054863423</v>
      </c>
    </row>
    <row r="259" customFormat="false" ht="15" hidden="false" customHeight="false" outlineLevel="0" collapsed="false">
      <c r="A259" s="17" t="n">
        <v>43014</v>
      </c>
      <c r="B259" s="19" t="n">
        <v>-0.00100700610688176</v>
      </c>
    </row>
    <row r="260" customFormat="false" ht="15" hidden="false" customHeight="false" outlineLevel="0" collapsed="false">
      <c r="A260" s="17" t="n">
        <v>43017</v>
      </c>
      <c r="B260" s="19" t="n">
        <v>-0.000158124220634881</v>
      </c>
    </row>
    <row r="261" customFormat="false" ht="15" hidden="false" customHeight="false" outlineLevel="0" collapsed="false">
      <c r="A261" s="17" t="n">
        <v>43018</v>
      </c>
      <c r="B261" s="19" t="n">
        <v>0.00299196164696136</v>
      </c>
    </row>
    <row r="262" customFormat="false" ht="15" hidden="false" customHeight="false" outlineLevel="0" collapsed="false">
      <c r="A262" s="17" t="n">
        <v>43019</v>
      </c>
      <c r="B262" s="19" t="n">
        <v>0.00132315390989524</v>
      </c>
    </row>
    <row r="263" customFormat="false" ht="15" hidden="false" customHeight="false" outlineLevel="0" collapsed="false">
      <c r="A263" s="17" t="n">
        <v>43020</v>
      </c>
      <c r="B263" s="19" t="n">
        <v>0.000702440217349443</v>
      </c>
    </row>
    <row r="264" customFormat="false" ht="15" hidden="false" customHeight="false" outlineLevel="0" collapsed="false">
      <c r="A264" s="17" t="n">
        <v>43021</v>
      </c>
      <c r="B264" s="19" t="n">
        <v>0.00251443861564327</v>
      </c>
    </row>
    <row r="265" customFormat="false" ht="15" hidden="false" customHeight="false" outlineLevel="0" collapsed="false">
      <c r="A265" s="17" t="n">
        <v>43024</v>
      </c>
      <c r="B265" s="19" t="n">
        <v>-0.00166693939303531</v>
      </c>
    </row>
    <row r="266" customFormat="false" ht="15" hidden="false" customHeight="false" outlineLevel="0" collapsed="false">
      <c r="A266" s="17" t="n">
        <v>43025</v>
      </c>
      <c r="B266" s="19" t="n">
        <v>-0.00104578073814188</v>
      </c>
    </row>
    <row r="267" customFormat="false" ht="15" hidden="false" customHeight="false" outlineLevel="0" collapsed="false">
      <c r="A267" s="17" t="n">
        <v>43026</v>
      </c>
      <c r="B267" s="19" t="n">
        <v>-0.000501791296134257</v>
      </c>
    </row>
    <row r="268" customFormat="false" ht="15" hidden="false" customHeight="false" outlineLevel="0" collapsed="false">
      <c r="A268" s="17" t="n">
        <v>43027</v>
      </c>
      <c r="B268" s="19" t="n">
        <v>0.00056855564530256</v>
      </c>
    </row>
    <row r="269" customFormat="false" ht="15" hidden="false" customHeight="false" outlineLevel="0" collapsed="false">
      <c r="A269" s="17" t="n">
        <v>43028</v>
      </c>
      <c r="B269" s="19" t="n">
        <v>-0.000181389426512246</v>
      </c>
    </row>
    <row r="270" customFormat="false" ht="15" hidden="false" customHeight="false" outlineLevel="0" collapsed="false">
      <c r="A270" s="17" t="n">
        <v>43031</v>
      </c>
      <c r="B270" s="19" t="n">
        <v>-0.00207600897407201</v>
      </c>
    </row>
    <row r="271" customFormat="false" ht="15" hidden="false" customHeight="false" outlineLevel="0" collapsed="false">
      <c r="A271" s="17" t="n">
        <v>43032</v>
      </c>
      <c r="B271" s="19" t="n">
        <v>-8.55452609377361E-005</v>
      </c>
    </row>
    <row r="272" customFormat="false" ht="15" hidden="false" customHeight="false" outlineLevel="0" collapsed="false">
      <c r="A272" s="17" t="n">
        <v>43033</v>
      </c>
      <c r="B272" s="19" t="n">
        <v>-0.0022041225026963</v>
      </c>
    </row>
    <row r="273" customFormat="false" ht="15" hidden="false" customHeight="false" outlineLevel="0" collapsed="false">
      <c r="A273" s="17" t="n">
        <v>43034</v>
      </c>
      <c r="B273" s="19" t="n">
        <v>-0.00142719107854705</v>
      </c>
    </row>
    <row r="274" customFormat="false" ht="15" hidden="false" customHeight="false" outlineLevel="0" collapsed="false">
      <c r="A274" s="17" t="n">
        <v>43035</v>
      </c>
      <c r="B274" s="19" t="n">
        <v>0.00481642891447409</v>
      </c>
    </row>
    <row r="275" customFormat="false" ht="15" hidden="false" customHeight="false" outlineLevel="0" collapsed="false">
      <c r="A275" s="17" t="n">
        <v>43038</v>
      </c>
      <c r="B275" s="19" t="n">
        <v>-0.000357590500599581</v>
      </c>
    </row>
    <row r="276" customFormat="false" ht="15" hidden="false" customHeight="false" outlineLevel="0" collapsed="false">
      <c r="A276" s="17" t="n">
        <v>43039</v>
      </c>
      <c r="B276" s="19" t="n">
        <v>0.000910100412998771</v>
      </c>
    </row>
    <row r="277" customFormat="false" ht="15" hidden="false" customHeight="false" outlineLevel="0" collapsed="false">
      <c r="A277" s="17" t="n">
        <v>43040</v>
      </c>
      <c r="B277" s="19" t="n">
        <v>0.000829369251883261</v>
      </c>
    </row>
    <row r="278" customFormat="false" ht="15" hidden="false" customHeight="false" outlineLevel="0" collapsed="false">
      <c r="A278" s="17" t="n">
        <v>43041</v>
      </c>
      <c r="B278" s="19" t="n">
        <v>0.00146763783805426</v>
      </c>
    </row>
    <row r="279" customFormat="false" ht="15" hidden="false" customHeight="false" outlineLevel="0" collapsed="false">
      <c r="A279" s="17" t="n">
        <v>43042</v>
      </c>
      <c r="B279" s="19" t="n">
        <v>0.000265801809629762</v>
      </c>
    </row>
    <row r="280" customFormat="false" ht="15" hidden="false" customHeight="false" outlineLevel="0" collapsed="false">
      <c r="A280" s="17" t="n">
        <v>43045</v>
      </c>
      <c r="B280" s="19" t="n">
        <v>0.00215917785952779</v>
      </c>
    </row>
    <row r="281" customFormat="false" ht="15" hidden="false" customHeight="false" outlineLevel="0" collapsed="false">
      <c r="A281" s="17" t="n">
        <v>43046</v>
      </c>
      <c r="B281" s="19" t="n">
        <v>-0.00145699450451542</v>
      </c>
    </row>
    <row r="282" customFormat="false" ht="15" hidden="false" customHeight="false" outlineLevel="0" collapsed="false">
      <c r="A282" s="17" t="n">
        <v>43047</v>
      </c>
      <c r="B282" s="19" t="n">
        <v>0.00106973161839208</v>
      </c>
    </row>
    <row r="283" customFormat="false" ht="15" hidden="false" customHeight="false" outlineLevel="0" collapsed="false">
      <c r="A283" s="17" t="n">
        <v>43048</v>
      </c>
      <c r="B283" s="19" t="n">
        <v>-0.00205513523056045</v>
      </c>
    </row>
    <row r="284" customFormat="false" ht="15" hidden="false" customHeight="false" outlineLevel="0" collapsed="false">
      <c r="A284" s="17" t="n">
        <v>43049</v>
      </c>
      <c r="B284" s="19" t="n">
        <v>-0.00268885706868949</v>
      </c>
    </row>
    <row r="285" customFormat="false" ht="15" hidden="false" customHeight="false" outlineLevel="0" collapsed="false">
      <c r="A285" s="17" t="n">
        <v>43052</v>
      </c>
      <c r="B285" s="19" t="n">
        <v>0.000268377742957515</v>
      </c>
    </row>
    <row r="286" customFormat="false" ht="15" hidden="false" customHeight="false" outlineLevel="0" collapsed="false">
      <c r="A286" s="17" t="n">
        <v>43053</v>
      </c>
      <c r="B286" s="19" t="n">
        <v>-0.000403485751522159</v>
      </c>
    </row>
    <row r="287" customFormat="false" ht="15" hidden="false" customHeight="false" outlineLevel="0" collapsed="false">
      <c r="A287" s="17" t="n">
        <v>43054</v>
      </c>
      <c r="B287" s="19" t="n">
        <v>-0.0020605750001903</v>
      </c>
    </row>
    <row r="288" customFormat="false" ht="15" hidden="false" customHeight="false" outlineLevel="0" collapsed="false">
      <c r="A288" s="17" t="n">
        <v>43055</v>
      </c>
      <c r="B288" s="19" t="n">
        <v>0.00423582728648131</v>
      </c>
    </row>
    <row r="289" customFormat="false" ht="15" hidden="false" customHeight="false" outlineLevel="0" collapsed="false">
      <c r="A289" s="17" t="n">
        <v>43056</v>
      </c>
      <c r="B289" s="19" t="n">
        <v>0.000678244892711399</v>
      </c>
    </row>
    <row r="290" customFormat="false" ht="15" hidden="false" customHeight="false" outlineLevel="0" collapsed="false">
      <c r="A290" s="17" t="n">
        <v>43059</v>
      </c>
      <c r="B290" s="19" t="n">
        <v>-0.00107889759555602</v>
      </c>
    </row>
    <row r="291" customFormat="false" ht="15" hidden="false" customHeight="false" outlineLevel="0" collapsed="false">
      <c r="A291" s="17" t="n">
        <v>43060</v>
      </c>
      <c r="B291" s="19" t="n">
        <v>0.00389734821622678</v>
      </c>
    </row>
    <row r="292" customFormat="false" ht="15" hidden="false" customHeight="false" outlineLevel="0" collapsed="false">
      <c r="A292" s="17" t="n">
        <v>43061</v>
      </c>
      <c r="B292" s="19" t="n">
        <v>0.00199389433606201</v>
      </c>
    </row>
    <row r="293" customFormat="false" ht="15" hidden="false" customHeight="false" outlineLevel="0" collapsed="false">
      <c r="A293" s="17" t="n">
        <v>43063</v>
      </c>
      <c r="B293" s="19" t="n">
        <v>0.00107817207323291</v>
      </c>
    </row>
    <row r="294" customFormat="false" ht="15" hidden="false" customHeight="false" outlineLevel="0" collapsed="false">
      <c r="A294" s="17" t="n">
        <v>43066</v>
      </c>
      <c r="B294" s="19" t="n">
        <v>-0.00186529209552</v>
      </c>
    </row>
    <row r="295" customFormat="false" ht="15" hidden="false" customHeight="false" outlineLevel="0" collapsed="false">
      <c r="A295" s="17" t="n">
        <v>43067</v>
      </c>
      <c r="B295" s="19" t="n">
        <v>0.00366170762436058</v>
      </c>
    </row>
    <row r="296" customFormat="false" ht="15" hidden="false" customHeight="false" outlineLevel="0" collapsed="false">
      <c r="A296" s="17" t="n">
        <v>43068</v>
      </c>
      <c r="B296" s="19" t="n">
        <v>-0.00296117817570474</v>
      </c>
    </row>
    <row r="297" customFormat="false" ht="15" hidden="false" customHeight="false" outlineLevel="0" collapsed="false">
      <c r="A297" s="17" t="n">
        <v>43069</v>
      </c>
      <c r="B297" s="19" t="n">
        <v>0.00127461719415778</v>
      </c>
    </row>
    <row r="298" customFormat="false" ht="15" hidden="false" customHeight="false" outlineLevel="0" collapsed="false">
      <c r="A298" s="17" t="n">
        <v>43070</v>
      </c>
      <c r="B298" s="19" t="n">
        <v>-2.89738593947098E-005</v>
      </c>
    </row>
    <row r="299" customFormat="false" ht="15" hidden="false" customHeight="false" outlineLevel="0" collapsed="false">
      <c r="A299" s="17" t="n">
        <v>43073</v>
      </c>
      <c r="B299" s="19" t="n">
        <v>-0.000295258184120129</v>
      </c>
    </row>
    <row r="300" customFormat="false" ht="15" hidden="false" customHeight="false" outlineLevel="0" collapsed="false">
      <c r="A300" s="17" t="n">
        <v>43074</v>
      </c>
      <c r="B300" s="19" t="n">
        <v>-0.00206505247333977</v>
      </c>
    </row>
    <row r="301" customFormat="false" ht="15" hidden="false" customHeight="false" outlineLevel="0" collapsed="false">
      <c r="A301" s="17" t="n">
        <v>43075</v>
      </c>
      <c r="B301" s="19" t="n">
        <v>-0.00125308876051167</v>
      </c>
    </row>
    <row r="302" customFormat="false" ht="15" hidden="false" customHeight="false" outlineLevel="0" collapsed="false">
      <c r="A302" s="17" t="n">
        <v>43076</v>
      </c>
      <c r="B302" s="19" t="n">
        <v>0.000307298928217792</v>
      </c>
    </row>
    <row r="303" customFormat="false" ht="15" hidden="false" customHeight="false" outlineLevel="0" collapsed="false">
      <c r="A303" s="17" t="n">
        <v>43077</v>
      </c>
      <c r="B303" s="19" t="n">
        <v>0.00292472065721405</v>
      </c>
    </row>
    <row r="304" customFormat="false" ht="15" hidden="false" customHeight="false" outlineLevel="0" collapsed="false">
      <c r="A304" s="17" t="n">
        <v>43080</v>
      </c>
      <c r="B304" s="19" t="n">
        <v>0.000735020685114218</v>
      </c>
    </row>
    <row r="305" customFormat="false" ht="15" hidden="false" customHeight="false" outlineLevel="0" collapsed="false">
      <c r="A305" s="17" t="n">
        <v>43081</v>
      </c>
      <c r="B305" s="19" t="n">
        <v>0.00037168602687454</v>
      </c>
    </row>
    <row r="306" customFormat="false" ht="15" hidden="false" customHeight="false" outlineLevel="0" collapsed="false">
      <c r="A306" s="17" t="n">
        <v>43082</v>
      </c>
      <c r="B306" s="19" t="n">
        <v>0.00227416340191478</v>
      </c>
    </row>
    <row r="307" customFormat="false" ht="15" hidden="false" customHeight="false" outlineLevel="0" collapsed="false">
      <c r="A307" s="17" t="n">
        <v>43083</v>
      </c>
      <c r="B307" s="19" t="n">
        <v>-0.00226570284363925</v>
      </c>
    </row>
    <row r="308" customFormat="false" ht="15" hidden="false" customHeight="false" outlineLevel="0" collapsed="false">
      <c r="A308" s="17" t="n">
        <v>43084</v>
      </c>
      <c r="B308" s="19" t="n">
        <v>0.00271865964882867</v>
      </c>
    </row>
    <row r="309" customFormat="false" ht="15" hidden="false" customHeight="false" outlineLevel="0" collapsed="false">
      <c r="A309" s="17" t="n">
        <v>43087</v>
      </c>
      <c r="B309" s="19" t="n">
        <v>0.00390173816152495</v>
      </c>
    </row>
    <row r="310" customFormat="false" ht="15" hidden="false" customHeight="false" outlineLevel="0" collapsed="false">
      <c r="A310" s="17" t="n">
        <v>43088</v>
      </c>
      <c r="B310" s="19" t="n">
        <v>-0.00334473354286013</v>
      </c>
    </row>
    <row r="311" customFormat="false" ht="15" hidden="false" customHeight="false" outlineLevel="0" collapsed="false">
      <c r="A311" s="17" t="n">
        <v>43089</v>
      </c>
      <c r="B311" s="19" t="n">
        <v>-0.000935627623792956</v>
      </c>
    </row>
    <row r="312" customFormat="false" ht="15" hidden="false" customHeight="false" outlineLevel="0" collapsed="false">
      <c r="A312" s="17" t="n">
        <v>43090</v>
      </c>
      <c r="B312" s="19" t="n">
        <v>0.00223963048889497</v>
      </c>
    </row>
    <row r="313" customFormat="false" ht="15" hidden="false" customHeight="false" outlineLevel="0" collapsed="false">
      <c r="A313" s="17" t="n">
        <v>43091</v>
      </c>
      <c r="B313" s="19" t="n">
        <v>0.00152096689521386</v>
      </c>
    </row>
    <row r="314" customFormat="false" ht="15" hidden="false" customHeight="false" outlineLevel="0" collapsed="false">
      <c r="A314" s="17" t="n">
        <v>43095</v>
      </c>
      <c r="B314" s="19" t="n">
        <v>0.000200418508676581</v>
      </c>
    </row>
    <row r="315" customFormat="false" ht="15" hidden="false" customHeight="false" outlineLevel="0" collapsed="false">
      <c r="A315" s="17" t="n">
        <v>43096</v>
      </c>
      <c r="B315" s="19" t="n">
        <v>0.00237179402543442</v>
      </c>
    </row>
    <row r="316" customFormat="false" ht="15" hidden="false" customHeight="false" outlineLevel="0" collapsed="false">
      <c r="A316" s="17" t="n">
        <v>43097</v>
      </c>
      <c r="B316" s="19" t="n">
        <v>0.00251509201161904</v>
      </c>
    </row>
    <row r="317" customFormat="false" ht="15" hidden="false" customHeight="false" outlineLevel="0" collapsed="false">
      <c r="A317" s="17" t="n">
        <v>43098</v>
      </c>
      <c r="B317" s="19" t="n">
        <v>0.000321859038538763</v>
      </c>
    </row>
    <row r="318" customFormat="false" ht="15" hidden="false" customHeight="false" outlineLevel="0" collapsed="false">
      <c r="A318" s="17" t="n">
        <v>43102</v>
      </c>
      <c r="B318" s="19" t="n">
        <v>0.0034831418600445</v>
      </c>
    </row>
    <row r="319" customFormat="false" ht="15" hidden="false" customHeight="false" outlineLevel="0" collapsed="false">
      <c r="A319" s="17" t="n">
        <v>43103</v>
      </c>
      <c r="B319" s="19" t="n">
        <v>0.00367709340626221</v>
      </c>
    </row>
    <row r="320" customFormat="false" ht="15" hidden="false" customHeight="false" outlineLevel="0" collapsed="false">
      <c r="A320" s="17" t="n">
        <v>43104</v>
      </c>
      <c r="B320" s="19" t="n">
        <v>0.00246085540803298</v>
      </c>
    </row>
    <row r="321" customFormat="false" ht="15" hidden="false" customHeight="false" outlineLevel="0" collapsed="false">
      <c r="A321" s="17" t="n">
        <v>43105</v>
      </c>
      <c r="B321" s="19" t="n">
        <v>0.00207621433757299</v>
      </c>
    </row>
    <row r="322" customFormat="false" ht="15" hidden="false" customHeight="false" outlineLevel="0" collapsed="false">
      <c r="A322" s="17" t="n">
        <v>43108</v>
      </c>
      <c r="B322" s="19" t="n">
        <v>0.000966099290157896</v>
      </c>
    </row>
    <row r="323" customFormat="false" ht="15" hidden="false" customHeight="false" outlineLevel="0" collapsed="false">
      <c r="A323" s="17" t="n">
        <v>43109</v>
      </c>
      <c r="B323" s="19" t="n">
        <v>-0.00122179239177633</v>
      </c>
    </row>
    <row r="324" customFormat="false" ht="15" hidden="false" customHeight="false" outlineLevel="0" collapsed="false">
      <c r="A324" s="17" t="n">
        <v>43110</v>
      </c>
      <c r="B324" s="19" t="n">
        <v>-0.00105721072552489</v>
      </c>
    </row>
    <row r="325" customFormat="false" ht="15" hidden="false" customHeight="false" outlineLevel="0" collapsed="false">
      <c r="A325" s="17" t="n">
        <v>43111</v>
      </c>
      <c r="B325" s="19" t="n">
        <v>0.0034610084568385</v>
      </c>
    </row>
    <row r="326" customFormat="false" ht="15" hidden="false" customHeight="false" outlineLevel="0" collapsed="false">
      <c r="A326" s="17" t="n">
        <v>43112</v>
      </c>
      <c r="B326" s="19" t="n">
        <v>0.00496628256719456</v>
      </c>
    </row>
    <row r="327" customFormat="false" ht="15" hidden="false" customHeight="false" outlineLevel="0" collapsed="false">
      <c r="A327" s="17" t="n">
        <v>43116</v>
      </c>
      <c r="B327" s="19" t="n">
        <v>-0.00135679202324379</v>
      </c>
    </row>
    <row r="328" customFormat="false" ht="15" hidden="false" customHeight="false" outlineLevel="0" collapsed="false">
      <c r="A328" s="17" t="n">
        <v>43117</v>
      </c>
      <c r="B328" s="19" t="n">
        <v>0.00328401930483513</v>
      </c>
    </row>
    <row r="329" customFormat="false" ht="15" hidden="false" customHeight="false" outlineLevel="0" collapsed="false">
      <c r="A329" s="17" t="n">
        <v>43118</v>
      </c>
      <c r="B329" s="19" t="n">
        <v>-0.00192552323784856</v>
      </c>
    </row>
    <row r="330" customFormat="false" ht="15" hidden="false" customHeight="false" outlineLevel="0" collapsed="false">
      <c r="A330" s="17" t="n">
        <v>43119</v>
      </c>
      <c r="B330" s="19" t="n">
        <v>0.00221988280783592</v>
      </c>
    </row>
    <row r="331" customFormat="false" ht="15" hidden="false" customHeight="false" outlineLevel="0" collapsed="false">
      <c r="A331" s="17" t="n">
        <v>43122</v>
      </c>
      <c r="B331" s="19" t="n">
        <v>0.00302834811768982</v>
      </c>
    </row>
    <row r="332" customFormat="false" ht="15" hidden="false" customHeight="false" outlineLevel="0" collapsed="false">
      <c r="A332" s="17" t="n">
        <v>43123</v>
      </c>
      <c r="B332" s="19" t="n">
        <v>0.00288022051699843</v>
      </c>
    </row>
    <row r="333" customFormat="false" ht="15" hidden="false" customHeight="false" outlineLevel="0" collapsed="false">
      <c r="A333" s="17" t="n">
        <v>43124</v>
      </c>
      <c r="B333" s="19" t="n">
        <v>0.00113194563848307</v>
      </c>
    </row>
    <row r="334" customFormat="false" ht="15" hidden="false" customHeight="false" outlineLevel="0" collapsed="false">
      <c r="A334" s="17" t="n">
        <v>43125</v>
      </c>
      <c r="B334" s="19" t="n">
        <v>-0.000191123296907847</v>
      </c>
    </row>
    <row r="335" customFormat="false" ht="15" hidden="false" customHeight="false" outlineLevel="0" collapsed="false">
      <c r="A335" s="17" t="n">
        <v>43126</v>
      </c>
      <c r="B335" s="19" t="n">
        <v>0.00462925189296537</v>
      </c>
    </row>
    <row r="336" customFormat="false" ht="15" hidden="false" customHeight="false" outlineLevel="0" collapsed="false">
      <c r="A336" s="17" t="n">
        <v>43129</v>
      </c>
      <c r="B336" s="19" t="n">
        <v>-0.00566782278383737</v>
      </c>
    </row>
    <row r="337" customFormat="false" ht="15" hidden="false" customHeight="false" outlineLevel="0" collapsed="false">
      <c r="A337" s="17" t="n">
        <v>43130</v>
      </c>
      <c r="B337" s="19" t="n">
        <v>-0.00552407350209483</v>
      </c>
    </row>
    <row r="338" customFormat="false" ht="15" hidden="false" customHeight="false" outlineLevel="0" collapsed="false">
      <c r="A338" s="17" t="n">
        <v>43131</v>
      </c>
      <c r="B338" s="19" t="n">
        <v>0.00150813603452482</v>
      </c>
    </row>
    <row r="339" customFormat="false" ht="15" hidden="false" customHeight="false" outlineLevel="0" collapsed="false">
      <c r="A339" s="17" t="n">
        <v>43132</v>
      </c>
      <c r="B339" s="19" t="n">
        <v>-0.00197982235064842</v>
      </c>
    </row>
    <row r="340" customFormat="false" ht="15" hidden="false" customHeight="false" outlineLevel="0" collapsed="false">
      <c r="A340" s="17" t="n">
        <v>43133</v>
      </c>
      <c r="B340" s="19" t="n">
        <v>-0.0120231592469875</v>
      </c>
    </row>
    <row r="341" customFormat="false" ht="15" hidden="false" customHeight="false" outlineLevel="0" collapsed="false">
      <c r="A341" s="17" t="n">
        <v>43136</v>
      </c>
      <c r="B341" s="19" t="n">
        <v>-0.0161301777747209</v>
      </c>
    </row>
    <row r="342" customFormat="false" ht="15" hidden="false" customHeight="false" outlineLevel="0" collapsed="false">
      <c r="A342" s="17" t="n">
        <v>43137</v>
      </c>
      <c r="B342" s="19" t="n">
        <v>0.00610454073536104</v>
      </c>
    </row>
    <row r="343" customFormat="false" ht="15" hidden="false" customHeight="false" outlineLevel="0" collapsed="false">
      <c r="A343" s="17" t="n">
        <v>43138</v>
      </c>
      <c r="B343" s="19" t="n">
        <v>-0.00640349710478838</v>
      </c>
    </row>
    <row r="344" customFormat="false" ht="15" hidden="false" customHeight="false" outlineLevel="0" collapsed="false">
      <c r="A344" s="17" t="n">
        <v>43139</v>
      </c>
      <c r="B344" s="19" t="n">
        <v>-0.0155537258846733</v>
      </c>
    </row>
    <row r="345" customFormat="false" ht="15" hidden="false" customHeight="false" outlineLevel="0" collapsed="false">
      <c r="A345" s="17" t="n">
        <v>43140</v>
      </c>
      <c r="B345" s="19" t="n">
        <v>0.00513276191359635</v>
      </c>
    </row>
    <row r="346" customFormat="false" ht="15" hidden="false" customHeight="false" outlineLevel="0" collapsed="false">
      <c r="A346" s="17" t="n">
        <v>43143</v>
      </c>
      <c r="B346" s="19" t="n">
        <v>0.00663700284070901</v>
      </c>
    </row>
    <row r="347" customFormat="false" ht="15" hidden="false" customHeight="false" outlineLevel="0" collapsed="false">
      <c r="A347" s="17" t="n">
        <v>43144</v>
      </c>
      <c r="B347" s="19" t="n">
        <v>0.00192273462638282</v>
      </c>
    </row>
    <row r="348" customFormat="false" ht="15" hidden="false" customHeight="false" outlineLevel="0" collapsed="false">
      <c r="A348" s="17" t="n">
        <v>43145</v>
      </c>
      <c r="B348" s="19" t="n">
        <v>0.00661211415390217</v>
      </c>
    </row>
    <row r="349" customFormat="false" ht="15" hidden="false" customHeight="false" outlineLevel="0" collapsed="false">
      <c r="A349" s="17" t="n">
        <v>43146</v>
      </c>
      <c r="B349" s="19" t="n">
        <v>0.00625326414817584</v>
      </c>
    </row>
    <row r="350" customFormat="false" ht="15" hidden="false" customHeight="false" outlineLevel="0" collapsed="false">
      <c r="A350" s="17" t="n">
        <v>43147</v>
      </c>
      <c r="B350" s="19" t="n">
        <v>0.000713900794252931</v>
      </c>
    </row>
    <row r="351" customFormat="false" ht="15" hidden="false" customHeight="false" outlineLevel="0" collapsed="false">
      <c r="A351" s="17" t="n">
        <v>43151</v>
      </c>
      <c r="B351" s="19" t="n">
        <v>-0.00523609131855274</v>
      </c>
    </row>
    <row r="352" customFormat="false" ht="15" hidden="false" customHeight="false" outlineLevel="0" collapsed="false">
      <c r="A352" s="17" t="n">
        <v>43152</v>
      </c>
      <c r="B352" s="19" t="n">
        <v>-0.00371751708152357</v>
      </c>
    </row>
    <row r="353" customFormat="false" ht="15" hidden="false" customHeight="false" outlineLevel="0" collapsed="false">
      <c r="A353" s="17" t="n">
        <v>43153</v>
      </c>
      <c r="B353" s="19" t="n">
        <v>0.00206196763936739</v>
      </c>
    </row>
    <row r="354" customFormat="false" ht="15" hidden="false" customHeight="false" outlineLevel="0" collapsed="false">
      <c r="A354" s="17" t="n">
        <v>43154</v>
      </c>
      <c r="B354" s="19" t="n">
        <v>0.00747469778194154</v>
      </c>
    </row>
    <row r="355" customFormat="false" ht="15" hidden="false" customHeight="false" outlineLevel="0" collapsed="false">
      <c r="A355" s="17" t="n">
        <v>43157</v>
      </c>
      <c r="B355" s="19" t="n">
        <v>0.00471747331896411</v>
      </c>
    </row>
    <row r="356" customFormat="false" ht="15" hidden="false" customHeight="false" outlineLevel="0" collapsed="false">
      <c r="A356" s="17" t="n">
        <v>43158</v>
      </c>
      <c r="B356" s="19" t="n">
        <v>-0.00943031075212175</v>
      </c>
    </row>
    <row r="357" customFormat="false" ht="15" hidden="false" customHeight="false" outlineLevel="0" collapsed="false">
      <c r="A357" s="17" t="n">
        <v>43159</v>
      </c>
      <c r="B357" s="19" t="n">
        <v>-0.00461108732633875</v>
      </c>
    </row>
    <row r="358" customFormat="false" ht="15" hidden="false" customHeight="false" outlineLevel="0" collapsed="false">
      <c r="A358" s="17" t="n">
        <v>43160</v>
      </c>
      <c r="B358" s="19" t="n">
        <v>-0.00388321153168736</v>
      </c>
    </row>
    <row r="359" customFormat="false" ht="15" hidden="false" customHeight="false" outlineLevel="0" collapsed="false">
      <c r="A359" s="17" t="n">
        <v>43161</v>
      </c>
      <c r="B359" s="19" t="n">
        <v>0.00152855940606611</v>
      </c>
    </row>
    <row r="360" customFormat="false" ht="15" hidden="false" customHeight="false" outlineLevel="0" collapsed="false">
      <c r="A360" s="17" t="n">
        <v>43164</v>
      </c>
      <c r="B360" s="19" t="n">
        <v>0.00414945369953257</v>
      </c>
    </row>
    <row r="361" customFormat="false" ht="15" hidden="false" customHeight="false" outlineLevel="0" collapsed="false">
      <c r="A361" s="17" t="n">
        <v>43165</v>
      </c>
      <c r="B361" s="19" t="n">
        <v>0.00255546215497815</v>
      </c>
    </row>
    <row r="362" customFormat="false" ht="15" hidden="false" customHeight="false" outlineLevel="0" collapsed="false">
      <c r="A362" s="17" t="n">
        <v>43166</v>
      </c>
      <c r="B362" s="19" t="n">
        <v>-6.05029703290017E-005</v>
      </c>
    </row>
    <row r="363" customFormat="false" ht="15" hidden="false" customHeight="false" outlineLevel="0" collapsed="false">
      <c r="A363" s="17" t="n">
        <v>43167</v>
      </c>
      <c r="B363" s="19" t="n">
        <v>0.00210954822698661</v>
      </c>
    </row>
    <row r="364" customFormat="false" ht="15" hidden="false" customHeight="false" outlineLevel="0" collapsed="false">
      <c r="A364" s="17" t="n">
        <v>43168</v>
      </c>
      <c r="B364" s="19" t="n">
        <v>0.00716581897885571</v>
      </c>
    </row>
    <row r="365" customFormat="false" ht="15" hidden="false" customHeight="false" outlineLevel="0" collapsed="false">
      <c r="A365" s="17" t="n">
        <v>43171</v>
      </c>
      <c r="B365" s="19" t="n">
        <v>0.000759992156644129</v>
      </c>
    </row>
    <row r="366" customFormat="false" ht="15" hidden="false" customHeight="false" outlineLevel="0" collapsed="false">
      <c r="A366" s="17" t="n">
        <v>43172</v>
      </c>
      <c r="B366" s="19" t="n">
        <v>-0.00261879402026299</v>
      </c>
    </row>
    <row r="367" customFormat="false" ht="15" hidden="false" customHeight="false" outlineLevel="0" collapsed="false">
      <c r="A367" s="17" t="n">
        <v>43173</v>
      </c>
      <c r="B367" s="19" t="n">
        <v>-0.000289701780173401</v>
      </c>
    </row>
    <row r="368" customFormat="false" ht="15" hidden="false" customHeight="false" outlineLevel="0" collapsed="false">
      <c r="A368" s="17" t="n">
        <v>43174</v>
      </c>
      <c r="B368" s="19" t="n">
        <v>-0.00110797590309997</v>
      </c>
    </row>
    <row r="369" customFormat="false" ht="15" hidden="false" customHeight="false" outlineLevel="0" collapsed="false">
      <c r="A369" s="17" t="n">
        <v>43175</v>
      </c>
      <c r="B369" s="19" t="n">
        <v>-0.000210830991640876</v>
      </c>
    </row>
    <row r="370" customFormat="false" ht="15" hidden="false" customHeight="false" outlineLevel="0" collapsed="false">
      <c r="A370" s="17" t="n">
        <v>43178</v>
      </c>
      <c r="B370" s="19" t="n">
        <v>-0.00589079641677681</v>
      </c>
    </row>
    <row r="371" customFormat="false" ht="15" hidden="false" customHeight="false" outlineLevel="0" collapsed="false">
      <c r="A371" s="17" t="n">
        <v>43179</v>
      </c>
      <c r="B371" s="19" t="n">
        <v>0.000471219074055895</v>
      </c>
    </row>
    <row r="372" customFormat="false" ht="15" hidden="false" customHeight="false" outlineLevel="0" collapsed="false">
      <c r="A372" s="17" t="n">
        <v>43180</v>
      </c>
      <c r="B372" s="19" t="n">
        <v>0.00201193720158122</v>
      </c>
    </row>
    <row r="373" customFormat="false" ht="15" hidden="false" customHeight="false" outlineLevel="0" collapsed="false">
      <c r="A373" s="17" t="n">
        <v>43181</v>
      </c>
      <c r="B373" s="19" t="n">
        <v>-0.0102484846651266</v>
      </c>
    </row>
    <row r="374" customFormat="false" ht="15" hidden="false" customHeight="false" outlineLevel="0" collapsed="false">
      <c r="A374" s="17" t="n">
        <v>43182</v>
      </c>
      <c r="B374" s="19" t="n">
        <v>-0.00703960103282963</v>
      </c>
    </row>
    <row r="375" customFormat="false" ht="15" hidden="false" customHeight="false" outlineLevel="0" collapsed="false">
      <c r="A375" s="17" t="n">
        <v>43185</v>
      </c>
      <c r="B375" s="19" t="n">
        <v>0.0115626787693817</v>
      </c>
    </row>
    <row r="376" customFormat="false" ht="15" hidden="false" customHeight="false" outlineLevel="0" collapsed="false">
      <c r="A376" s="17" t="n">
        <v>43186</v>
      </c>
      <c r="B376" s="19" t="n">
        <v>-0.00549967611165314</v>
      </c>
    </row>
    <row r="377" customFormat="false" ht="15" hidden="false" customHeight="false" outlineLevel="0" collapsed="false">
      <c r="A377" s="17" t="n">
        <v>43187</v>
      </c>
      <c r="B377" s="19" t="n">
        <v>-0.00141677107019533</v>
      </c>
    </row>
    <row r="378" customFormat="false" ht="15" hidden="false" customHeight="false" outlineLevel="0" collapsed="false">
      <c r="A378" s="17" t="n">
        <v>43188</v>
      </c>
      <c r="B378" s="19" t="n">
        <v>0.00731748287357004</v>
      </c>
    </row>
    <row r="379" customFormat="false" ht="15" hidden="false" customHeight="false" outlineLevel="0" collapsed="false">
      <c r="A379" s="17" t="n">
        <v>43192</v>
      </c>
      <c r="B379" s="19" t="n">
        <v>-0.00864530268375052</v>
      </c>
    </row>
    <row r="380" customFormat="false" ht="15" hidden="false" customHeight="false" outlineLevel="0" collapsed="false">
      <c r="A380" s="17" t="n">
        <v>43193</v>
      </c>
      <c r="B380" s="19" t="n">
        <v>0.00412478350101164</v>
      </c>
    </row>
    <row r="381" customFormat="false" ht="15" hidden="false" customHeight="false" outlineLevel="0" collapsed="false">
      <c r="A381" s="17" t="n">
        <v>43194</v>
      </c>
      <c r="B381" s="19" t="n">
        <v>0.00450093971003285</v>
      </c>
    </row>
    <row r="382" customFormat="false" ht="15" hidden="false" customHeight="false" outlineLevel="0" collapsed="false">
      <c r="A382" s="17" t="n">
        <v>43195</v>
      </c>
      <c r="B382" s="19" t="n">
        <v>0.00185553437229968</v>
      </c>
    </row>
    <row r="383" customFormat="false" ht="15" hidden="false" customHeight="false" outlineLevel="0" collapsed="false">
      <c r="A383" s="17" t="n">
        <v>43196</v>
      </c>
      <c r="B383" s="19" t="n">
        <v>-0.00693090785119854</v>
      </c>
    </row>
    <row r="384" customFormat="false" ht="15" hidden="false" customHeight="false" outlineLevel="0" collapsed="false">
      <c r="A384" s="17" t="n">
        <v>43199</v>
      </c>
      <c r="B384" s="19" t="n">
        <v>0.0030165511203839</v>
      </c>
    </row>
    <row r="385" customFormat="false" ht="15" hidden="false" customHeight="false" outlineLevel="0" collapsed="false">
      <c r="A385" s="17" t="n">
        <v>43200</v>
      </c>
      <c r="B385" s="19" t="n">
        <v>0.0060579943861141</v>
      </c>
    </row>
    <row r="386" customFormat="false" ht="15" hidden="false" customHeight="false" outlineLevel="0" collapsed="false">
      <c r="A386" s="17" t="n">
        <v>43201</v>
      </c>
      <c r="B386" s="19" t="n">
        <v>-0.0011982352909139</v>
      </c>
    </row>
    <row r="387" customFormat="false" ht="15" hidden="false" customHeight="false" outlineLevel="0" collapsed="false">
      <c r="A387" s="17" t="n">
        <v>43202</v>
      </c>
      <c r="B387" s="19" t="n">
        <v>0.000688337136663941</v>
      </c>
    </row>
    <row r="388" customFormat="false" ht="15" hidden="false" customHeight="false" outlineLevel="0" collapsed="false">
      <c r="A388" s="17" t="n">
        <v>43203</v>
      </c>
      <c r="B388" s="19" t="n">
        <v>-0.000488145640720195</v>
      </c>
    </row>
    <row r="389" customFormat="false" ht="15" hidden="false" customHeight="false" outlineLevel="0" collapsed="false">
      <c r="A389" s="17" t="n">
        <v>43206</v>
      </c>
      <c r="B389" s="19" t="n">
        <v>0.00382238552746705</v>
      </c>
    </row>
    <row r="390" customFormat="false" ht="15" hidden="false" customHeight="false" outlineLevel="0" collapsed="false">
      <c r="A390" s="17" t="n">
        <v>43207</v>
      </c>
      <c r="B390" s="19" t="n">
        <v>0.00471467107261114</v>
      </c>
    </row>
    <row r="391" customFormat="false" ht="15" hidden="false" customHeight="false" outlineLevel="0" collapsed="false">
      <c r="A391" s="17" t="n">
        <v>43208</v>
      </c>
      <c r="B391" s="19" t="n">
        <v>0.000695955301448947</v>
      </c>
    </row>
    <row r="392" customFormat="false" ht="15" hidden="false" customHeight="false" outlineLevel="0" collapsed="false">
      <c r="A392" s="17" t="n">
        <v>43209</v>
      </c>
      <c r="B392" s="19" t="n">
        <v>-0.00348938941461086</v>
      </c>
    </row>
    <row r="393" customFormat="false" ht="15" hidden="false" customHeight="false" outlineLevel="0" collapsed="false">
      <c r="A393" s="17" t="n">
        <v>43210</v>
      </c>
      <c r="B393" s="19" t="n">
        <v>-0.00543829722894262</v>
      </c>
    </row>
    <row r="394" customFormat="false" ht="15" hidden="false" customHeight="false" outlineLevel="0" collapsed="false">
      <c r="A394" s="17" t="n">
        <v>43213</v>
      </c>
      <c r="B394" s="19" t="n">
        <v>-0.000765666140244092</v>
      </c>
    </row>
    <row r="395" customFormat="false" ht="15" hidden="false" customHeight="false" outlineLevel="0" collapsed="false">
      <c r="A395" s="17" t="n">
        <v>43214</v>
      </c>
      <c r="B395" s="19" t="n">
        <v>-0.00487242334929072</v>
      </c>
    </row>
    <row r="396" customFormat="false" ht="15" hidden="false" customHeight="false" outlineLevel="0" collapsed="false">
      <c r="A396" s="17" t="n">
        <v>43215</v>
      </c>
      <c r="B396" s="19" t="n">
        <v>-0.00142822037637924</v>
      </c>
    </row>
    <row r="397" customFormat="false" ht="15" hidden="false" customHeight="false" outlineLevel="0" collapsed="false">
      <c r="A397" s="17" t="n">
        <v>43216</v>
      </c>
      <c r="B397" s="19" t="n">
        <v>0.00517791981422144</v>
      </c>
    </row>
    <row r="398" customFormat="false" ht="15" hidden="false" customHeight="false" outlineLevel="0" collapsed="false">
      <c r="A398" s="17" t="n">
        <v>43217</v>
      </c>
      <c r="B398" s="19" t="n">
        <v>0.00201228444861923</v>
      </c>
    </row>
    <row r="399" customFormat="false" ht="15" hidden="false" customHeight="false" outlineLevel="0" collapsed="false">
      <c r="A399" s="17" t="n">
        <v>43220</v>
      </c>
      <c r="B399" s="19" t="n">
        <v>-0.00349452066174461</v>
      </c>
    </row>
    <row r="400" customFormat="false" ht="15" hidden="false" customHeight="false" outlineLevel="0" collapsed="false">
      <c r="A400" s="17" t="n">
        <v>43221</v>
      </c>
      <c r="B400" s="19" t="n">
        <v>-0.00106017230917865</v>
      </c>
    </row>
    <row r="401" customFormat="false" ht="15" hidden="false" customHeight="false" outlineLevel="0" collapsed="false">
      <c r="A401" s="17" t="n">
        <v>43222</v>
      </c>
      <c r="B401" s="19" t="n">
        <v>-0.00245373434301222</v>
      </c>
    </row>
    <row r="402" customFormat="false" ht="15" hidden="false" customHeight="false" outlineLevel="0" collapsed="false">
      <c r="A402" s="17" t="n">
        <v>43223</v>
      </c>
      <c r="B402" s="19" t="n">
        <v>-0.000459044766690564</v>
      </c>
    </row>
    <row r="403" customFormat="false" ht="15" hidden="false" customHeight="false" outlineLevel="0" collapsed="false">
      <c r="A403" s="17" t="n">
        <v>43224</v>
      </c>
      <c r="B403" s="19" t="n">
        <v>0.0050963870474523</v>
      </c>
    </row>
    <row r="404" customFormat="false" ht="15" hidden="false" customHeight="false" outlineLevel="0" collapsed="false">
      <c r="A404" s="17" t="n">
        <v>43227</v>
      </c>
      <c r="B404" s="19" t="n">
        <v>0.000878067670613714</v>
      </c>
    </row>
    <row r="405" customFormat="false" ht="15" hidden="false" customHeight="false" outlineLevel="0" collapsed="false">
      <c r="A405" s="17" t="n">
        <v>43228</v>
      </c>
      <c r="B405" s="19" t="n">
        <v>-0.000373074275590191</v>
      </c>
    </row>
    <row r="406" customFormat="false" ht="15" hidden="false" customHeight="false" outlineLevel="0" collapsed="false">
      <c r="A406" s="17" t="n">
        <v>43229</v>
      </c>
      <c r="B406" s="19" t="n">
        <v>0.00187959997320908</v>
      </c>
    </row>
    <row r="407" customFormat="false" ht="15" hidden="false" customHeight="false" outlineLevel="0" collapsed="false">
      <c r="A407" s="17" t="n">
        <v>43230</v>
      </c>
      <c r="B407" s="19" t="n">
        <v>0.00580800304399087</v>
      </c>
    </row>
    <row r="408" customFormat="false" ht="15" hidden="false" customHeight="false" outlineLevel="0" collapsed="false">
      <c r="A408" s="17" t="n">
        <v>43231</v>
      </c>
      <c r="B408" s="19" t="n">
        <v>0.000610046312629065</v>
      </c>
    </row>
    <row r="409" customFormat="false" ht="15" hidden="false" customHeight="false" outlineLevel="0" collapsed="false">
      <c r="A409" s="17" t="n">
        <v>43234</v>
      </c>
      <c r="B409" s="19" t="n">
        <v>-8.07752436174924E-005</v>
      </c>
    </row>
    <row r="410" customFormat="false" ht="15" hidden="false" customHeight="false" outlineLevel="0" collapsed="false">
      <c r="A410" s="17" t="n">
        <v>43235</v>
      </c>
      <c r="B410" s="19" t="n">
        <v>-0.00652362824737562</v>
      </c>
    </row>
    <row r="411" customFormat="false" ht="15" hidden="false" customHeight="false" outlineLevel="0" collapsed="false">
      <c r="A411" s="17" t="n">
        <v>43236</v>
      </c>
      <c r="B411" s="19" t="n">
        <v>0.00199736631160286</v>
      </c>
    </row>
    <row r="412" customFormat="false" ht="15" hidden="false" customHeight="false" outlineLevel="0" collapsed="false">
      <c r="A412" s="17" t="n">
        <v>43237</v>
      </c>
      <c r="B412" s="19" t="n">
        <v>-0.00109418027692354</v>
      </c>
    </row>
    <row r="413" customFormat="false" ht="15" hidden="false" customHeight="false" outlineLevel="0" collapsed="false">
      <c r="A413" s="17" t="n">
        <v>43238</v>
      </c>
      <c r="B413" s="19" t="n">
        <v>-0.000741845282581144</v>
      </c>
    </row>
    <row r="414" customFormat="false" ht="15" hidden="false" customHeight="false" outlineLevel="0" collapsed="false">
      <c r="A414" s="17" t="n">
        <v>43241</v>
      </c>
      <c r="B414" s="19" t="n">
        <v>0.00384331812370276</v>
      </c>
    </row>
    <row r="415" customFormat="false" ht="15" hidden="false" customHeight="false" outlineLevel="0" collapsed="false">
      <c r="A415" s="17" t="n">
        <v>43242</v>
      </c>
      <c r="B415" s="19" t="n">
        <v>-0.000734608396155245</v>
      </c>
    </row>
    <row r="416" customFormat="false" ht="15" hidden="false" customHeight="false" outlineLevel="0" collapsed="false">
      <c r="A416" s="17" t="n">
        <v>43243</v>
      </c>
      <c r="B416" s="19" t="n">
        <v>0.00122120100042156</v>
      </c>
    </row>
    <row r="417" customFormat="false" ht="15" hidden="false" customHeight="false" outlineLevel="0" collapsed="false">
      <c r="A417" s="17" t="n">
        <v>43244</v>
      </c>
      <c r="B417" s="19" t="n">
        <v>-0.000155342810366999</v>
      </c>
    </row>
    <row r="418" customFormat="false" ht="15" hidden="false" customHeight="false" outlineLevel="0" collapsed="false">
      <c r="A418" s="17" t="n">
        <v>43245</v>
      </c>
      <c r="B418" s="19" t="n">
        <v>-0.000550769910921511</v>
      </c>
    </row>
    <row r="419" customFormat="false" ht="15" hidden="false" customHeight="false" outlineLevel="0" collapsed="false">
      <c r="A419" s="17" t="n">
        <v>43249</v>
      </c>
      <c r="B419" s="19" t="n">
        <v>-0.00333235528807185</v>
      </c>
    </row>
    <row r="420" customFormat="false" ht="15" hidden="false" customHeight="false" outlineLevel="0" collapsed="false">
      <c r="A420" s="17" t="n">
        <v>43250</v>
      </c>
      <c r="B420" s="19" t="n">
        <v>0.005354576113485</v>
      </c>
    </row>
    <row r="421" customFormat="false" ht="15" hidden="false" customHeight="false" outlineLevel="0" collapsed="false">
      <c r="A421" s="17" t="n">
        <v>43251</v>
      </c>
      <c r="B421" s="19" t="n">
        <v>-0.00228917031670051</v>
      </c>
    </row>
    <row r="422" customFormat="false" ht="15" hidden="false" customHeight="false" outlineLevel="0" collapsed="false">
      <c r="A422" s="17" t="n">
        <v>43252</v>
      </c>
      <c r="B422" s="19" t="n">
        <v>0.00428744102624079</v>
      </c>
    </row>
    <row r="423" customFormat="false" ht="15" hidden="false" customHeight="false" outlineLevel="0" collapsed="false">
      <c r="A423" s="17" t="n">
        <v>43255</v>
      </c>
      <c r="B423" s="19" t="n">
        <v>0.00226786598004325</v>
      </c>
    </row>
    <row r="424" customFormat="false" ht="15" hidden="false" customHeight="false" outlineLevel="0" collapsed="false">
      <c r="A424" s="17" t="n">
        <v>43256</v>
      </c>
      <c r="B424" s="19" t="n">
        <v>0.000894486163524055</v>
      </c>
    </row>
    <row r="425" customFormat="false" ht="15" hidden="false" customHeight="false" outlineLevel="0" collapsed="false">
      <c r="A425" s="17" t="n">
        <v>43257</v>
      </c>
      <c r="B425" s="19" t="n">
        <v>0.00338435109690605</v>
      </c>
    </row>
    <row r="426" customFormat="false" ht="15" hidden="false" customHeight="false" outlineLevel="0" collapsed="false">
      <c r="A426" s="17" t="n">
        <v>43258</v>
      </c>
      <c r="B426" s="19" t="n">
        <v>-0.00158368168377643</v>
      </c>
    </row>
    <row r="427" customFormat="false" ht="15" hidden="false" customHeight="false" outlineLevel="0" collapsed="false">
      <c r="A427" s="17" t="n">
        <v>43259</v>
      </c>
      <c r="B427" s="19" t="n">
        <v>0.000506966706930401</v>
      </c>
    </row>
    <row r="428" customFormat="false" ht="15" hidden="false" customHeight="false" outlineLevel="0" collapsed="false">
      <c r="A428" s="17" t="n">
        <v>43262</v>
      </c>
      <c r="B428" s="19" t="n">
        <v>0.00118818145054678</v>
      </c>
    </row>
    <row r="429" customFormat="false" ht="15" hidden="false" customHeight="false" outlineLevel="0" collapsed="false">
      <c r="A429" s="17" t="n">
        <v>43263</v>
      </c>
      <c r="B429" s="19" t="n">
        <v>-0.000195868341223315</v>
      </c>
    </row>
    <row r="430" customFormat="false" ht="15" hidden="false" customHeight="false" outlineLevel="0" collapsed="false">
      <c r="A430" s="17" t="n">
        <v>43264</v>
      </c>
      <c r="B430" s="19" t="n">
        <v>-0.0021013593240734</v>
      </c>
    </row>
    <row r="431" customFormat="false" ht="15" hidden="false" customHeight="false" outlineLevel="0" collapsed="false">
      <c r="A431" s="17" t="n">
        <v>43265</v>
      </c>
      <c r="B431" s="19" t="n">
        <v>0.001296993809492</v>
      </c>
    </row>
    <row r="432" customFormat="false" ht="15" hidden="false" customHeight="false" outlineLevel="0" collapsed="false">
      <c r="A432" s="17" t="n">
        <v>43266</v>
      </c>
      <c r="B432" s="19" t="n">
        <v>-0.00292977416923901</v>
      </c>
    </row>
    <row r="433" customFormat="false" ht="15" hidden="false" customHeight="false" outlineLevel="0" collapsed="false">
      <c r="A433" s="17" t="n">
        <v>43269</v>
      </c>
      <c r="B433" s="19" t="n">
        <v>-0.00195280995299318</v>
      </c>
    </row>
    <row r="434" customFormat="false" ht="15" hidden="false" customHeight="false" outlineLevel="0" collapsed="false">
      <c r="A434" s="17" t="n">
        <v>43270</v>
      </c>
      <c r="B434" s="19" t="n">
        <v>-0.00223335174155526</v>
      </c>
    </row>
    <row r="435" customFormat="false" ht="15" hidden="false" customHeight="false" outlineLevel="0" collapsed="false">
      <c r="A435" s="17" t="n">
        <v>43271</v>
      </c>
      <c r="B435" s="19" t="n">
        <v>0.000147322487530799</v>
      </c>
    </row>
    <row r="436" customFormat="false" ht="15" hidden="false" customHeight="false" outlineLevel="0" collapsed="false">
      <c r="A436" s="17" t="n">
        <v>43272</v>
      </c>
      <c r="B436" s="19" t="n">
        <v>-0.00263278930886202</v>
      </c>
    </row>
    <row r="437" customFormat="false" ht="15" hidden="false" customHeight="false" outlineLevel="0" collapsed="false">
      <c r="A437" s="17" t="n">
        <v>43273</v>
      </c>
      <c r="B437" s="19" t="n">
        <v>0.00270778644922887</v>
      </c>
    </row>
    <row r="438" customFormat="false" ht="15" hidden="false" customHeight="false" outlineLevel="0" collapsed="false">
      <c r="A438" s="17" t="n">
        <v>43276</v>
      </c>
      <c r="B438" s="19" t="n">
        <v>-0.00616785770362016</v>
      </c>
    </row>
    <row r="439" customFormat="false" ht="15" hidden="false" customHeight="false" outlineLevel="0" collapsed="false">
      <c r="A439" s="17" t="n">
        <v>43277</v>
      </c>
      <c r="B439" s="19" t="n">
        <v>0.000894732440794854</v>
      </c>
    </row>
    <row r="440" customFormat="false" ht="15" hidden="false" customHeight="false" outlineLevel="0" collapsed="false">
      <c r="A440" s="17" t="n">
        <v>43278</v>
      </c>
      <c r="B440" s="19" t="n">
        <v>-0.00465566543087925</v>
      </c>
    </row>
    <row r="441" customFormat="false" ht="15" hidden="false" customHeight="false" outlineLevel="0" collapsed="false">
      <c r="A441" s="17" t="n">
        <v>43279</v>
      </c>
      <c r="B441" s="19" t="n">
        <v>0.00224943673822464</v>
      </c>
    </row>
    <row r="442" customFormat="false" ht="15" hidden="false" customHeight="false" outlineLevel="0" collapsed="false">
      <c r="A442" s="17" t="n">
        <v>43280</v>
      </c>
      <c r="B442" s="19" t="n">
        <v>0.00258002871001262</v>
      </c>
    </row>
    <row r="443" customFormat="false" ht="15" hidden="false" customHeight="false" outlineLevel="0" collapsed="false">
      <c r="A443" s="17" t="n">
        <v>43283</v>
      </c>
      <c r="B443" s="19" t="n">
        <v>-0.00247558810285542</v>
      </c>
    </row>
    <row r="444" customFormat="false" ht="15" hidden="false" customHeight="false" outlineLevel="0" collapsed="false">
      <c r="A444" s="17" t="n">
        <v>43284</v>
      </c>
      <c r="B444" s="19" t="n">
        <v>0.00073390653599148</v>
      </c>
    </row>
    <row r="445" customFormat="false" ht="15" hidden="false" customHeight="false" outlineLevel="0" collapsed="false">
      <c r="A445" s="17" t="n">
        <v>43286</v>
      </c>
      <c r="B445" s="19" t="n">
        <v>0.00382205987935813</v>
      </c>
    </row>
    <row r="446" customFormat="false" ht="15" hidden="false" customHeight="false" outlineLevel="0" collapsed="false">
      <c r="A446" s="17" t="n">
        <v>43287</v>
      </c>
      <c r="B446" s="19" t="n">
        <v>0.00412294709818295</v>
      </c>
    </row>
    <row r="447" customFormat="false" ht="15" hidden="false" customHeight="false" outlineLevel="0" collapsed="false">
      <c r="A447" s="17" t="n">
        <v>43290</v>
      </c>
      <c r="B447" s="19" t="n">
        <v>0.00463027089275436</v>
      </c>
    </row>
    <row r="448" customFormat="false" ht="15" hidden="false" customHeight="false" outlineLevel="0" collapsed="false">
      <c r="A448" s="17" t="n">
        <v>43291</v>
      </c>
      <c r="B448" s="19" t="n">
        <v>0.00104040286207296</v>
      </c>
    </row>
    <row r="449" customFormat="false" ht="15" hidden="false" customHeight="false" outlineLevel="0" collapsed="false">
      <c r="A449" s="17" t="n">
        <v>43292</v>
      </c>
      <c r="B449" s="19" t="n">
        <v>-0.00613056266136769</v>
      </c>
    </row>
    <row r="450" customFormat="false" ht="15" hidden="false" customHeight="false" outlineLevel="0" collapsed="false">
      <c r="A450" s="17" t="n">
        <v>43293</v>
      </c>
      <c r="B450" s="19" t="n">
        <v>0.00438997929559726</v>
      </c>
    </row>
    <row r="451" customFormat="false" ht="15" hidden="false" customHeight="false" outlineLevel="0" collapsed="false">
      <c r="A451" s="17" t="n">
        <v>43294</v>
      </c>
      <c r="B451" s="19" t="n">
        <v>0.000854491814087366</v>
      </c>
    </row>
    <row r="452" customFormat="false" ht="15" hidden="false" customHeight="false" outlineLevel="0" collapsed="false">
      <c r="A452" s="17" t="n">
        <v>43297</v>
      </c>
      <c r="B452" s="19" t="n">
        <v>-0.000973103485065185</v>
      </c>
    </row>
    <row r="453" customFormat="false" ht="15" hidden="false" customHeight="false" outlineLevel="0" collapsed="false">
      <c r="A453" s="17" t="n">
        <v>43298</v>
      </c>
      <c r="B453" s="19" t="n">
        <v>0.000891092800152205</v>
      </c>
    </row>
    <row r="454" customFormat="false" ht="15" hidden="false" customHeight="false" outlineLevel="0" collapsed="false">
      <c r="A454" s="17" t="n">
        <v>43299</v>
      </c>
      <c r="B454" s="19" t="n">
        <v>-0.000149028928850159</v>
      </c>
    </row>
    <row r="455" customFormat="false" ht="15" hidden="false" customHeight="false" outlineLevel="0" collapsed="false">
      <c r="A455" s="17" t="n">
        <v>43300</v>
      </c>
      <c r="B455" s="19" t="n">
        <v>-0.000511636795533565</v>
      </c>
    </row>
    <row r="456" customFormat="false" ht="15" hidden="false" customHeight="false" outlineLevel="0" collapsed="false">
      <c r="A456" s="17" t="n">
        <v>43301</v>
      </c>
      <c r="B456" s="19" t="n">
        <v>0.000204521189771656</v>
      </c>
    </row>
    <row r="457" customFormat="false" ht="15" hidden="false" customHeight="false" outlineLevel="0" collapsed="false">
      <c r="A457" s="17" t="n">
        <v>43304</v>
      </c>
      <c r="B457" s="19" t="n">
        <v>-0.00215319389538848</v>
      </c>
    </row>
    <row r="458" customFormat="false" ht="15" hidden="false" customHeight="false" outlineLevel="0" collapsed="false">
      <c r="A458" s="17" t="n">
        <v>43305</v>
      </c>
      <c r="B458" s="19" t="n">
        <v>0.00244130087540184</v>
      </c>
    </row>
    <row r="459" customFormat="false" ht="15" hidden="false" customHeight="false" outlineLevel="0" collapsed="false">
      <c r="A459" s="17" t="n">
        <v>43306</v>
      </c>
      <c r="B459" s="19" t="n">
        <v>0.00519981873117792</v>
      </c>
    </row>
    <row r="460" customFormat="false" ht="15" hidden="false" customHeight="false" outlineLevel="0" collapsed="false">
      <c r="A460" s="17" t="n">
        <v>43307</v>
      </c>
      <c r="B460" s="19" t="n">
        <v>-0.00238482901396098</v>
      </c>
    </row>
    <row r="461" customFormat="false" ht="15" hidden="false" customHeight="false" outlineLevel="0" collapsed="false">
      <c r="A461" s="17" t="n">
        <v>43308</v>
      </c>
      <c r="B461" s="19" t="n">
        <v>-0.00235676471997326</v>
      </c>
    </row>
    <row r="462" customFormat="false" ht="15" hidden="false" customHeight="false" outlineLevel="0" collapsed="false">
      <c r="A462" s="17" t="n">
        <v>43311</v>
      </c>
      <c r="B462" s="19" t="n">
        <v>-0.00242728627805788</v>
      </c>
    </row>
    <row r="463" customFormat="false" ht="15" hidden="false" customHeight="false" outlineLevel="0" collapsed="false">
      <c r="A463" s="17" t="n">
        <v>43312</v>
      </c>
      <c r="B463" s="19" t="n">
        <v>0.00313450140171878</v>
      </c>
    </row>
    <row r="464" customFormat="false" ht="15" hidden="false" customHeight="false" outlineLevel="0" collapsed="false">
      <c r="A464" s="17" t="n">
        <v>43313</v>
      </c>
      <c r="B464" s="19" t="n">
        <v>-0.00171528660460663</v>
      </c>
    </row>
    <row r="465" customFormat="false" ht="15" hidden="false" customHeight="false" outlineLevel="0" collapsed="false">
      <c r="A465" s="17" t="n">
        <v>43314</v>
      </c>
      <c r="B465" s="19" t="n">
        <v>0.000213165288090567</v>
      </c>
    </row>
    <row r="466" customFormat="false" ht="15" hidden="false" customHeight="false" outlineLevel="0" collapsed="false">
      <c r="A466" s="17" t="n">
        <v>43315</v>
      </c>
      <c r="B466" s="19" t="n">
        <v>0.00269237627806351</v>
      </c>
    </row>
    <row r="467" customFormat="false" ht="15" hidden="false" customHeight="false" outlineLevel="0" collapsed="false">
      <c r="A467" s="17" t="n">
        <v>43318</v>
      </c>
      <c r="B467" s="19" t="n">
        <v>-6.46722090766883E-005</v>
      </c>
    </row>
    <row r="468" customFormat="false" ht="15" hidden="false" customHeight="false" outlineLevel="0" collapsed="false">
      <c r="A468" s="17" t="n">
        <v>43319</v>
      </c>
      <c r="B468" s="19" t="n">
        <v>0.00146455583873606</v>
      </c>
    </row>
    <row r="469" customFormat="false" ht="15" hidden="false" customHeight="false" outlineLevel="0" collapsed="false">
      <c r="A469" s="17" t="n">
        <v>43320</v>
      </c>
      <c r="B469" s="19" t="n">
        <v>-0.000898301608235785</v>
      </c>
    </row>
    <row r="470" customFormat="false" ht="15" hidden="false" customHeight="false" outlineLevel="0" collapsed="false">
      <c r="A470" s="17" t="n">
        <v>43321</v>
      </c>
      <c r="B470" s="19" t="n">
        <v>4.55509944892185E-005</v>
      </c>
    </row>
    <row r="471" customFormat="false" ht="15" hidden="false" customHeight="false" outlineLevel="0" collapsed="false">
      <c r="A471" s="17" t="n">
        <v>43322</v>
      </c>
      <c r="B471" s="19" t="n">
        <v>-0.00421125461344529</v>
      </c>
    </row>
    <row r="472" customFormat="false" ht="15" hidden="false" customHeight="false" outlineLevel="0" collapsed="false">
      <c r="A472" s="17" t="n">
        <v>43325</v>
      </c>
      <c r="B472" s="19" t="n">
        <v>-0.00496628634259522</v>
      </c>
    </row>
    <row r="473" customFormat="false" ht="15" hidden="false" customHeight="false" outlineLevel="0" collapsed="false">
      <c r="A473" s="17" t="n">
        <v>43326</v>
      </c>
      <c r="B473" s="19" t="n">
        <v>0.00192874816590138</v>
      </c>
    </row>
    <row r="474" customFormat="false" ht="15" hidden="false" customHeight="false" outlineLevel="0" collapsed="false">
      <c r="A474" s="17" t="n">
        <v>43327</v>
      </c>
      <c r="B474" s="19" t="n">
        <v>-0.00559716823848411</v>
      </c>
    </row>
    <row r="475" customFormat="false" ht="15" hidden="false" customHeight="false" outlineLevel="0" collapsed="false">
      <c r="A475" s="17" t="n">
        <v>43328</v>
      </c>
      <c r="B475" s="19" t="n">
        <v>0.00390603182710025</v>
      </c>
    </row>
    <row r="476" customFormat="false" ht="15" hidden="false" customHeight="false" outlineLevel="0" collapsed="false">
      <c r="A476" s="17" t="n">
        <v>43329</v>
      </c>
      <c r="B476" s="19" t="n">
        <v>0.00344827604706866</v>
      </c>
    </row>
    <row r="477" customFormat="false" ht="15" hidden="false" customHeight="false" outlineLevel="0" collapsed="false">
      <c r="A477" s="17" t="n">
        <v>43332</v>
      </c>
      <c r="B477" s="19" t="n">
        <v>0.00227748943217954</v>
      </c>
    </row>
    <row r="478" customFormat="false" ht="15" hidden="false" customHeight="false" outlineLevel="0" collapsed="false">
      <c r="A478" s="17" t="n">
        <v>43333</v>
      </c>
      <c r="B478" s="19" t="n">
        <v>0.0023498053831259</v>
      </c>
    </row>
    <row r="479" customFormat="false" ht="15" hidden="false" customHeight="false" outlineLevel="0" collapsed="false">
      <c r="A479" s="17" t="n">
        <v>43334</v>
      </c>
      <c r="B479" s="19" t="n">
        <v>0.00132295326396537</v>
      </c>
    </row>
    <row r="480" customFormat="false" ht="15" hidden="false" customHeight="false" outlineLevel="0" collapsed="false">
      <c r="A480" s="17" t="n">
        <v>43335</v>
      </c>
      <c r="B480" s="19" t="n">
        <v>-0.00269293742242294</v>
      </c>
    </row>
    <row r="481" customFormat="false" ht="15" hidden="false" customHeight="false" outlineLevel="0" collapsed="false">
      <c r="A481" s="17" t="n">
        <v>43336</v>
      </c>
      <c r="B481" s="19" t="n">
        <v>0.00481946185470839</v>
      </c>
    </row>
    <row r="482" customFormat="false" ht="15" hidden="false" customHeight="false" outlineLevel="0" collapsed="false">
      <c r="A482" s="17" t="n">
        <v>43339</v>
      </c>
      <c r="B482" s="19" t="n">
        <v>0.00367297810299649</v>
      </c>
    </row>
    <row r="483" customFormat="false" ht="15" hidden="false" customHeight="false" outlineLevel="0" collapsed="false">
      <c r="A483" s="17" t="n">
        <v>43340</v>
      </c>
      <c r="B483" s="19" t="n">
        <v>-0.000973394031513863</v>
      </c>
    </row>
    <row r="484" customFormat="false" ht="15" hidden="false" customHeight="false" outlineLevel="0" collapsed="false">
      <c r="A484" s="17" t="n">
        <v>43341</v>
      </c>
      <c r="B484" s="19" t="n">
        <v>0.00273849787255975</v>
      </c>
    </row>
    <row r="485" customFormat="false" ht="15" hidden="false" customHeight="false" outlineLevel="0" collapsed="false">
      <c r="A485" s="17" t="n">
        <v>43342</v>
      </c>
      <c r="B485" s="19" t="n">
        <v>-0.00409840987421961</v>
      </c>
    </row>
    <row r="486" customFormat="false" ht="15" hidden="false" customHeight="false" outlineLevel="0" collapsed="false">
      <c r="A486" s="17" t="n">
        <v>43343</v>
      </c>
      <c r="B486" s="19" t="n">
        <v>-0.000200090191540991</v>
      </c>
    </row>
    <row r="487" customFormat="false" ht="15" hidden="false" customHeight="false" outlineLevel="0" collapsed="false">
      <c r="A487" s="17" t="n">
        <v>43347</v>
      </c>
      <c r="B487" s="19" t="n">
        <v>-0.00374999172231116</v>
      </c>
    </row>
    <row r="488" customFormat="false" ht="15" hidden="false" customHeight="false" outlineLevel="0" collapsed="false">
      <c r="A488" s="17" t="n">
        <v>43348</v>
      </c>
      <c r="B488" s="19" t="n">
        <v>-0.00298200308176233</v>
      </c>
    </row>
    <row r="489" customFormat="false" ht="15" hidden="false" customHeight="false" outlineLevel="0" collapsed="false">
      <c r="A489" s="17" t="n">
        <v>43349</v>
      </c>
      <c r="B489" s="19" t="n">
        <v>-0.000839752310581088</v>
      </c>
    </row>
    <row r="490" customFormat="false" ht="15" hidden="false" customHeight="false" outlineLevel="0" collapsed="false">
      <c r="A490" s="17" t="n">
        <v>43350</v>
      </c>
      <c r="B490" s="19" t="n">
        <v>-0.00340233035038384</v>
      </c>
    </row>
    <row r="491" customFormat="false" ht="15" hidden="false" customHeight="false" outlineLevel="0" collapsed="false">
      <c r="A491" s="17" t="n">
        <v>43353</v>
      </c>
      <c r="B491" s="19" t="n">
        <v>0.00124372664352412</v>
      </c>
    </row>
    <row r="492" customFormat="false" ht="15" hidden="false" customHeight="false" outlineLevel="0" collapsed="false">
      <c r="A492" s="17" t="n">
        <v>43354</v>
      </c>
      <c r="B492" s="19" t="n">
        <v>0.000991391534533426</v>
      </c>
    </row>
    <row r="493" customFormat="false" ht="15" hidden="false" customHeight="false" outlineLevel="0" collapsed="false">
      <c r="A493" s="17" t="n">
        <v>43355</v>
      </c>
      <c r="B493" s="19" t="n">
        <v>0.00105325887102126</v>
      </c>
    </row>
    <row r="494" customFormat="false" ht="15" hidden="false" customHeight="false" outlineLevel="0" collapsed="false">
      <c r="A494" s="17" t="n">
        <v>43356</v>
      </c>
      <c r="B494" s="19" t="n">
        <v>0.00230469831086455</v>
      </c>
    </row>
    <row r="495" customFormat="false" ht="15" hidden="false" customHeight="false" outlineLevel="0" collapsed="false">
      <c r="A495" s="17" t="n">
        <v>43357</v>
      </c>
      <c r="B495" s="19" t="n">
        <v>-0.00084439777788059</v>
      </c>
    </row>
    <row r="496" customFormat="false" ht="15" hidden="false" customHeight="false" outlineLevel="0" collapsed="false">
      <c r="A496" s="17" t="n">
        <v>43360</v>
      </c>
      <c r="B496" s="19" t="n">
        <v>-0.00218155627513539</v>
      </c>
    </row>
    <row r="497" customFormat="false" ht="15" hidden="false" customHeight="false" outlineLevel="0" collapsed="false">
      <c r="A497" s="17" t="n">
        <v>43361</v>
      </c>
      <c r="B497" s="19" t="n">
        <v>0.00249031862323013</v>
      </c>
    </row>
    <row r="498" customFormat="false" ht="15" hidden="false" customHeight="false" outlineLevel="0" collapsed="false">
      <c r="A498" s="17" t="n">
        <v>43362</v>
      </c>
      <c r="B498" s="19" t="n">
        <v>0.000791899566286558</v>
      </c>
    </row>
    <row r="499" customFormat="false" ht="15" hidden="false" customHeight="false" outlineLevel="0" collapsed="false">
      <c r="A499" s="17" t="n">
        <v>43363</v>
      </c>
      <c r="B499" s="19" t="n">
        <v>0.00472529011537182</v>
      </c>
    </row>
    <row r="500" customFormat="false" ht="15" hidden="false" customHeight="false" outlineLevel="0" collapsed="false">
      <c r="A500" s="17" t="n">
        <v>43364</v>
      </c>
      <c r="B500" s="19" t="n">
        <v>-4.26123723327176E-005</v>
      </c>
    </row>
    <row r="501" customFormat="false" ht="15" hidden="false" customHeight="false" outlineLevel="0" collapsed="false">
      <c r="A501" s="17" t="n">
        <v>43367</v>
      </c>
      <c r="B501" s="19" t="n">
        <v>-0.00293610343459927</v>
      </c>
    </row>
    <row r="502" customFormat="false" ht="15" hidden="false" customHeight="false" outlineLevel="0" collapsed="false">
      <c r="A502" s="17" t="n">
        <v>43368</v>
      </c>
      <c r="B502" s="19" t="n">
        <v>0.0011885067623576</v>
      </c>
    </row>
    <row r="503" customFormat="false" ht="15" hidden="false" customHeight="false" outlineLevel="0" collapsed="false">
      <c r="A503" s="17" t="n">
        <v>43369</v>
      </c>
      <c r="B503" s="19" t="n">
        <v>-0.000810629701867294</v>
      </c>
    </row>
    <row r="504" customFormat="false" ht="15" hidden="false" customHeight="false" outlineLevel="0" collapsed="false">
      <c r="A504" s="17" t="n">
        <v>43370</v>
      </c>
      <c r="B504" s="19" t="n">
        <v>0.000515729501824769</v>
      </c>
    </row>
    <row r="505" customFormat="false" ht="15" hidden="false" customHeight="false" outlineLevel="0" collapsed="false">
      <c r="A505" s="17" t="n">
        <v>43371</v>
      </c>
      <c r="B505" s="19" t="n">
        <v>-0.000309285278721871</v>
      </c>
    </row>
    <row r="506" customFormat="false" ht="15" hidden="false" customHeight="false" outlineLevel="0" collapsed="false">
      <c r="A506" s="17" t="n">
        <v>43374</v>
      </c>
      <c r="B506" s="19" t="n">
        <v>0.000262292013908594</v>
      </c>
    </row>
    <row r="507" customFormat="false" ht="15" hidden="false" customHeight="false" outlineLevel="0" collapsed="false">
      <c r="A507" s="17" t="n">
        <v>43375</v>
      </c>
      <c r="B507" s="19" t="n">
        <v>-0.000246926436866302</v>
      </c>
    </row>
    <row r="508" customFormat="false" ht="15" hidden="false" customHeight="false" outlineLevel="0" collapsed="false">
      <c r="A508" s="17" t="n">
        <v>43376</v>
      </c>
      <c r="B508" s="19" t="n">
        <v>-0.0028376547602802</v>
      </c>
    </row>
    <row r="509" customFormat="false" ht="15" hidden="false" customHeight="false" outlineLevel="0" collapsed="false">
      <c r="A509" s="17" t="n">
        <v>43377</v>
      </c>
      <c r="B509" s="19" t="n">
        <v>-0.00621093998631539</v>
      </c>
    </row>
    <row r="510" customFormat="false" ht="15" hidden="false" customHeight="false" outlineLevel="0" collapsed="false">
      <c r="A510" s="17" t="n">
        <v>43378</v>
      </c>
      <c r="B510" s="19" t="n">
        <v>-0.00319286631304616</v>
      </c>
    </row>
    <row r="511" customFormat="false" ht="15" hidden="false" customHeight="false" outlineLevel="0" collapsed="false">
      <c r="A511" s="17" t="n">
        <v>43381</v>
      </c>
      <c r="B511" s="19" t="n">
        <v>-0.000858016255302796</v>
      </c>
    </row>
    <row r="512" customFormat="false" ht="15" hidden="false" customHeight="false" outlineLevel="0" collapsed="false">
      <c r="A512" s="17" t="n">
        <v>43382</v>
      </c>
      <c r="B512" s="19" t="n">
        <v>-7.9308161531344E-006</v>
      </c>
    </row>
    <row r="513" customFormat="false" ht="15" hidden="false" customHeight="false" outlineLevel="0" collapsed="false">
      <c r="A513" s="17" t="n">
        <v>43383</v>
      </c>
      <c r="B513" s="19" t="n">
        <v>-0.0136049564907849</v>
      </c>
    </row>
    <row r="514" customFormat="false" ht="15" hidden="false" customHeight="false" outlineLevel="0" collapsed="false">
      <c r="A514" s="17" t="n">
        <v>43384</v>
      </c>
      <c r="B514" s="19" t="n">
        <v>-0.00580991114559581</v>
      </c>
    </row>
    <row r="515" customFormat="false" ht="15" hidden="false" customHeight="false" outlineLevel="0" collapsed="false">
      <c r="A515" s="17" t="n">
        <v>43385</v>
      </c>
      <c r="B515" s="19" t="n">
        <v>0.00414590633512213</v>
      </c>
    </row>
    <row r="516" customFormat="false" ht="15" hidden="false" customHeight="false" outlineLevel="0" collapsed="false">
      <c r="A516" s="17" t="n">
        <v>43388</v>
      </c>
      <c r="B516" s="19" t="n">
        <v>-0.0019501825985484</v>
      </c>
    </row>
    <row r="517" customFormat="false" ht="15" hidden="false" customHeight="false" outlineLevel="0" collapsed="false">
      <c r="A517" s="17" t="n">
        <v>43389</v>
      </c>
      <c r="B517" s="19" t="n">
        <v>0.010600203839541</v>
      </c>
    </row>
    <row r="518" customFormat="false" ht="15" hidden="false" customHeight="false" outlineLevel="0" collapsed="false">
      <c r="A518" s="17" t="n">
        <v>43390</v>
      </c>
      <c r="B518" s="19" t="n">
        <v>-0.00259247352747305</v>
      </c>
    </row>
    <row r="519" customFormat="false" ht="15" hidden="false" customHeight="false" outlineLevel="0" collapsed="false">
      <c r="A519" s="17" t="n">
        <v>43391</v>
      </c>
      <c r="B519" s="19" t="n">
        <v>-0.00672162823282019</v>
      </c>
    </row>
    <row r="520" customFormat="false" ht="15" hidden="false" customHeight="false" outlineLevel="0" collapsed="false">
      <c r="A520" s="17" t="n">
        <v>43392</v>
      </c>
      <c r="B520" s="19" t="n">
        <v>0.000489446689826201</v>
      </c>
    </row>
    <row r="521" customFormat="false" ht="15" hidden="false" customHeight="false" outlineLevel="0" collapsed="false">
      <c r="A521" s="17" t="n">
        <v>43395</v>
      </c>
      <c r="B521" s="19" t="n">
        <v>-0.00196045599342853</v>
      </c>
    </row>
    <row r="522" customFormat="false" ht="15" hidden="false" customHeight="false" outlineLevel="0" collapsed="false">
      <c r="A522" s="17" t="n">
        <v>43396</v>
      </c>
      <c r="B522" s="19" t="n">
        <v>-0.0018325289140072</v>
      </c>
    </row>
    <row r="523" customFormat="false" ht="15" hidden="false" customHeight="false" outlineLevel="0" collapsed="false">
      <c r="A523" s="17" t="n">
        <v>43397</v>
      </c>
      <c r="B523" s="19" t="n">
        <v>-0.0107879653353232</v>
      </c>
    </row>
    <row r="524" customFormat="false" ht="15" hidden="false" customHeight="false" outlineLevel="0" collapsed="false">
      <c r="A524" s="17" t="n">
        <v>43398</v>
      </c>
      <c r="B524" s="19" t="n">
        <v>0.00790733960690115</v>
      </c>
    </row>
    <row r="525" customFormat="false" ht="15" hidden="false" customHeight="false" outlineLevel="0" collapsed="false">
      <c r="A525" s="17" t="n">
        <v>43399</v>
      </c>
      <c r="B525" s="19" t="n">
        <v>-0.00512943137014044</v>
      </c>
    </row>
    <row r="526" customFormat="false" ht="15" hidden="false" customHeight="false" outlineLevel="0" collapsed="false">
      <c r="A526" s="17" t="n">
        <v>43402</v>
      </c>
      <c r="B526" s="19" t="n">
        <v>-0.00290404669891831</v>
      </c>
    </row>
    <row r="527" customFormat="false" ht="15" hidden="false" customHeight="false" outlineLevel="0" collapsed="false">
      <c r="A527" s="17" t="n">
        <v>43403</v>
      </c>
      <c r="B527" s="19" t="n">
        <v>0.00617917605350171</v>
      </c>
    </row>
    <row r="528" customFormat="false" ht="15" hidden="false" customHeight="false" outlineLevel="0" collapsed="false">
      <c r="A528" s="17" t="n">
        <v>43404</v>
      </c>
      <c r="B528" s="19" t="n">
        <v>0.00242755764661151</v>
      </c>
    </row>
    <row r="529" customFormat="false" ht="15" hidden="false" customHeight="false" outlineLevel="0" collapsed="false">
      <c r="A529" s="17" t="n">
        <v>43405</v>
      </c>
      <c r="B529" s="19" t="n">
        <v>0.00713960885309306</v>
      </c>
    </row>
    <row r="530" customFormat="false" ht="15" hidden="false" customHeight="false" outlineLevel="0" collapsed="false">
      <c r="A530" s="17" t="n">
        <v>43406</v>
      </c>
      <c r="B530" s="19" t="n">
        <v>-0.00191096421820569</v>
      </c>
    </row>
    <row r="531" customFormat="false" ht="15" hidden="false" customHeight="false" outlineLevel="0" collapsed="false">
      <c r="A531" s="17" t="n">
        <v>43409</v>
      </c>
      <c r="B531" s="19" t="n">
        <v>0.0017911413054168</v>
      </c>
    </row>
    <row r="532" customFormat="false" ht="15" hidden="false" customHeight="false" outlineLevel="0" collapsed="false">
      <c r="A532" s="17" t="n">
        <v>43410</v>
      </c>
      <c r="B532" s="19" t="n">
        <v>0.00113699448593185</v>
      </c>
    </row>
    <row r="533" customFormat="false" ht="15" hidden="false" customHeight="false" outlineLevel="0" collapsed="false">
      <c r="A533" s="17" t="n">
        <v>43411</v>
      </c>
      <c r="B533" s="19" t="n">
        <v>0.00783043978546405</v>
      </c>
    </row>
    <row r="534" customFormat="false" ht="15" hidden="false" customHeight="false" outlineLevel="0" collapsed="false">
      <c r="A534" s="17" t="n">
        <v>43412</v>
      </c>
      <c r="B534" s="19" t="n">
        <v>-0.00397783136305452</v>
      </c>
    </row>
    <row r="535" customFormat="false" ht="15" hidden="false" customHeight="false" outlineLevel="0" collapsed="false">
      <c r="A535" s="17" t="n">
        <v>43413</v>
      </c>
      <c r="B535" s="19" t="n">
        <v>-0.00449014383092272</v>
      </c>
    </row>
    <row r="536" customFormat="false" ht="15" hidden="false" customHeight="false" outlineLevel="0" collapsed="false">
      <c r="A536" s="17" t="n">
        <v>43416</v>
      </c>
      <c r="B536" s="19" t="n">
        <v>-0.00677396812864306</v>
      </c>
    </row>
    <row r="537" customFormat="false" ht="15" hidden="false" customHeight="false" outlineLevel="0" collapsed="false">
      <c r="A537" s="17" t="n">
        <v>43417</v>
      </c>
      <c r="B537" s="19" t="n">
        <v>0.000461175829745697</v>
      </c>
    </row>
    <row r="538" customFormat="false" ht="15" hidden="false" customHeight="false" outlineLevel="0" collapsed="false">
      <c r="A538" s="17" t="n">
        <v>43418</v>
      </c>
      <c r="B538" s="19" t="n">
        <v>-0.000366781063544819</v>
      </c>
    </row>
    <row r="539" customFormat="false" ht="15" hidden="false" customHeight="false" outlineLevel="0" collapsed="false">
      <c r="A539" s="17" t="n">
        <v>43419</v>
      </c>
      <c r="B539" s="19" t="n">
        <v>0.00407853464511288</v>
      </c>
    </row>
    <row r="540" customFormat="false" ht="15" hidden="false" customHeight="false" outlineLevel="0" collapsed="false">
      <c r="A540" s="17" t="n">
        <v>43420</v>
      </c>
      <c r="B540" s="19" t="n">
        <v>0.00261185688369814</v>
      </c>
    </row>
    <row r="541" customFormat="false" ht="15" hidden="false" customHeight="false" outlineLevel="0" collapsed="false">
      <c r="A541" s="17" t="n">
        <v>43423</v>
      </c>
      <c r="B541" s="19" t="n">
        <v>-0.00603531795511281</v>
      </c>
    </row>
    <row r="542" customFormat="false" ht="15" hidden="false" customHeight="false" outlineLevel="0" collapsed="false">
      <c r="A542" s="17" t="n">
        <v>43424</v>
      </c>
      <c r="B542" s="19" t="n">
        <v>-0.00861913492532329</v>
      </c>
    </row>
    <row r="543" customFormat="false" ht="15" hidden="false" customHeight="false" outlineLevel="0" collapsed="false">
      <c r="A543" s="17" t="n">
        <v>43425</v>
      </c>
      <c r="B543" s="19" t="n">
        <v>0.00421179388748305</v>
      </c>
    </row>
    <row r="544" customFormat="false" ht="15" hidden="false" customHeight="false" outlineLevel="0" collapsed="false">
      <c r="A544" s="17" t="n">
        <v>43427</v>
      </c>
      <c r="B544" s="19" t="n">
        <v>-0.00261247949741605</v>
      </c>
    </row>
    <row r="545" customFormat="false" ht="15" hidden="false" customHeight="false" outlineLevel="0" collapsed="false">
      <c r="A545" s="17" t="n">
        <v>43430</v>
      </c>
      <c r="B545" s="19" t="n">
        <v>0.00464750029539718</v>
      </c>
    </row>
    <row r="546" customFormat="false" ht="15" hidden="false" customHeight="false" outlineLevel="0" collapsed="false">
      <c r="A546" s="17" t="n">
        <v>43431</v>
      </c>
      <c r="B546" s="19" t="n">
        <v>-0.000356453509548715</v>
      </c>
    </row>
    <row r="547" customFormat="false" ht="15" hidden="false" customHeight="false" outlineLevel="0" collapsed="false">
      <c r="A547" s="17" t="n">
        <v>43432</v>
      </c>
      <c r="B547" s="19" t="n">
        <v>0.00934751790139377</v>
      </c>
    </row>
    <row r="548" customFormat="false" ht="15" hidden="false" customHeight="false" outlineLevel="0" collapsed="false">
      <c r="A548" s="17" t="n">
        <v>43433</v>
      </c>
      <c r="B548" s="19" t="n">
        <v>-0.00032523806438256</v>
      </c>
    </row>
    <row r="549" customFormat="false" ht="15" hidden="false" customHeight="false" outlineLevel="0" collapsed="false">
      <c r="A549" s="17" t="n">
        <v>43434</v>
      </c>
      <c r="B549" s="19" t="n">
        <v>0.00178848122855557</v>
      </c>
    </row>
    <row r="550" customFormat="false" ht="15" hidden="false" customHeight="false" outlineLevel="0" collapsed="false">
      <c r="A550" s="17" t="n">
        <v>43437</v>
      </c>
      <c r="B550" s="19" t="n">
        <v>0.00768135283413618</v>
      </c>
    </row>
    <row r="551" customFormat="false" ht="15" hidden="false" customHeight="false" outlineLevel="0" collapsed="false">
      <c r="A551" s="17" t="n">
        <v>43438</v>
      </c>
      <c r="B551" s="19" t="n">
        <v>-0.0112135799097323</v>
      </c>
    </row>
    <row r="552" customFormat="false" ht="15" hidden="false" customHeight="false" outlineLevel="0" collapsed="false">
      <c r="A552" s="17" t="n">
        <v>43440</v>
      </c>
      <c r="B552" s="19" t="n">
        <v>-0.000599767613300273</v>
      </c>
    </row>
    <row r="553" customFormat="false" ht="15" hidden="false" customHeight="false" outlineLevel="0" collapsed="false">
      <c r="A553" s="17" t="n">
        <v>43441</v>
      </c>
      <c r="B553" s="19" t="n">
        <v>-0.0066775639660428</v>
      </c>
    </row>
    <row r="554" customFormat="false" ht="15" hidden="false" customHeight="false" outlineLevel="0" collapsed="false">
      <c r="A554" s="17" t="n">
        <v>43444</v>
      </c>
      <c r="B554" s="19" t="n">
        <v>-0.00233947865219986</v>
      </c>
    </row>
    <row r="555" customFormat="false" ht="15" hidden="false" customHeight="false" outlineLevel="0" collapsed="false">
      <c r="A555" s="17" t="n">
        <v>43445</v>
      </c>
      <c r="B555" s="19" t="n">
        <v>0.000306324459449225</v>
      </c>
    </row>
    <row r="556" customFormat="false" ht="15" hidden="false" customHeight="false" outlineLevel="0" collapsed="false">
      <c r="A556" s="17" t="n">
        <v>43446</v>
      </c>
      <c r="B556" s="19" t="n">
        <v>0.00341510589410721</v>
      </c>
    </row>
    <row r="557" customFormat="false" ht="15" hidden="false" customHeight="false" outlineLevel="0" collapsed="false">
      <c r="A557" s="17" t="n">
        <v>43447</v>
      </c>
      <c r="B557" s="19" t="n">
        <v>0.000279103296781269</v>
      </c>
    </row>
    <row r="558" customFormat="false" ht="15" hidden="false" customHeight="false" outlineLevel="0" collapsed="false">
      <c r="A558" s="17" t="n">
        <v>43448</v>
      </c>
      <c r="B558" s="19" t="n">
        <v>-0.00660464080433254</v>
      </c>
    </row>
    <row r="559" customFormat="false" ht="15" hidden="false" customHeight="false" outlineLevel="0" collapsed="false">
      <c r="A559" s="17" t="n">
        <v>43451</v>
      </c>
      <c r="B559" s="19" t="n">
        <v>-0.00617030753252557</v>
      </c>
    </row>
    <row r="560" customFormat="false" ht="15" hidden="false" customHeight="false" outlineLevel="0" collapsed="false">
      <c r="A560" s="17" t="n">
        <v>43452</v>
      </c>
      <c r="B560" s="19" t="n">
        <v>0.00150791223905444</v>
      </c>
    </row>
    <row r="561" customFormat="false" ht="15" hidden="false" customHeight="false" outlineLevel="0" collapsed="false">
      <c r="A561" s="17" t="n">
        <v>43453</v>
      </c>
      <c r="B561" s="19" t="n">
        <v>-0.00588943412511733</v>
      </c>
    </row>
    <row r="562" customFormat="false" ht="15" hidden="false" customHeight="false" outlineLevel="0" collapsed="false">
      <c r="A562" s="17" t="n">
        <v>43454</v>
      </c>
      <c r="B562" s="19" t="n">
        <v>-0.00428709156712359</v>
      </c>
    </row>
    <row r="563" customFormat="false" ht="15" hidden="false" customHeight="false" outlineLevel="0" collapsed="false">
      <c r="A563" s="17" t="n">
        <v>43455</v>
      </c>
      <c r="B563" s="19" t="n">
        <v>-0.00786052672471327</v>
      </c>
    </row>
    <row r="564" customFormat="false" ht="15" hidden="false" customHeight="false" outlineLevel="0" collapsed="false">
      <c r="A564" s="17" t="n">
        <v>43458</v>
      </c>
      <c r="B564" s="19" t="n">
        <v>-0.00725540791511004</v>
      </c>
    </row>
    <row r="565" customFormat="false" ht="15" hidden="false" customHeight="false" outlineLevel="0" collapsed="false">
      <c r="A565" s="17" t="n">
        <v>43460</v>
      </c>
      <c r="B565" s="19" t="n">
        <v>0.014084040013858</v>
      </c>
    </row>
    <row r="566" customFormat="false" ht="15" hidden="false" customHeight="false" outlineLevel="0" collapsed="false">
      <c r="A566" s="17" t="n">
        <v>43461</v>
      </c>
      <c r="B566" s="19" t="n">
        <v>0.0035542113468634</v>
      </c>
    </row>
    <row r="567" customFormat="false" ht="15" hidden="false" customHeight="false" outlineLevel="0" collapsed="false">
      <c r="A567" s="17" t="n">
        <v>43462</v>
      </c>
      <c r="B567" s="19" t="n">
        <v>0.0029203655474257</v>
      </c>
    </row>
    <row r="568" customFormat="false" ht="15" hidden="false" customHeight="false" outlineLevel="0" collapsed="false">
      <c r="A568" s="17" t="n">
        <v>43465</v>
      </c>
      <c r="B568" s="19" t="n">
        <v>0.00268834275035523</v>
      </c>
    </row>
    <row r="569" customFormat="false" ht="15" hidden="false" customHeight="false" outlineLevel="0" collapsed="false">
      <c r="A569" s="17" t="n">
        <v>43467</v>
      </c>
      <c r="B569" s="19" t="n">
        <v>0.00142193171430072</v>
      </c>
    </row>
    <row r="570" customFormat="false" ht="15" hidden="false" customHeight="false" outlineLevel="0" collapsed="false">
      <c r="A570" s="17" t="n">
        <v>43468</v>
      </c>
      <c r="B570" s="19" t="n">
        <v>-0.00465109441107969</v>
      </c>
    </row>
    <row r="571" customFormat="false" ht="15" hidden="false" customHeight="false" outlineLevel="0" collapsed="false">
      <c r="A571" s="17" t="n">
        <v>43469</v>
      </c>
      <c r="B571" s="19" t="n">
        <v>0.0110491288310974</v>
      </c>
    </row>
    <row r="572" customFormat="false" ht="15" hidden="false" customHeight="false" outlineLevel="0" collapsed="false">
      <c r="A572" s="17" t="n">
        <v>43472</v>
      </c>
      <c r="B572" s="19" t="n">
        <v>0.00329668651325132</v>
      </c>
    </row>
    <row r="573" customFormat="false" ht="15" hidden="false" customHeight="false" outlineLevel="0" collapsed="false">
      <c r="A573" s="17" t="n">
        <v>43473</v>
      </c>
      <c r="B573" s="19" t="n">
        <v>0.00349239085545472</v>
      </c>
    </row>
    <row r="574" customFormat="false" ht="15" hidden="false" customHeight="false" outlineLevel="0" collapsed="false">
      <c r="A574" s="17" t="n">
        <v>43474</v>
      </c>
      <c r="B574" s="19" t="n">
        <v>0.0043097925129818</v>
      </c>
    </row>
    <row r="575" customFormat="false" ht="15" hidden="false" customHeight="false" outlineLevel="0" collapsed="false">
      <c r="A575" s="17" t="n">
        <v>43475</v>
      </c>
      <c r="B575" s="19" t="n">
        <v>0.0012678809856308</v>
      </c>
    </row>
    <row r="576" customFormat="false" ht="15" hidden="false" customHeight="false" outlineLevel="0" collapsed="false">
      <c r="A576" s="17" t="n">
        <v>43476</v>
      </c>
      <c r="B576" s="19" t="n">
        <v>0.000133037088051013</v>
      </c>
    </row>
    <row r="577" customFormat="false" ht="15" hidden="false" customHeight="false" outlineLevel="0" collapsed="false">
      <c r="A577" s="17" t="n">
        <v>43479</v>
      </c>
      <c r="B577" s="19" t="n">
        <v>-0.00255265341806643</v>
      </c>
    </row>
    <row r="578" customFormat="false" ht="15" hidden="false" customHeight="false" outlineLevel="0" collapsed="false">
      <c r="A578" s="17" t="n">
        <v>43480</v>
      </c>
      <c r="B578" s="19" t="n">
        <v>0.00368739334821999</v>
      </c>
    </row>
    <row r="579" customFormat="false" ht="15" hidden="false" customHeight="false" outlineLevel="0" collapsed="false">
      <c r="A579" s="17" t="n">
        <v>43481</v>
      </c>
      <c r="B579" s="19" t="n">
        <v>0.00245669146455385</v>
      </c>
    </row>
    <row r="580" customFormat="false" ht="15" hidden="false" customHeight="false" outlineLevel="0" collapsed="false">
      <c r="A580" s="17" t="n">
        <v>43482</v>
      </c>
      <c r="B580" s="19" t="n">
        <v>0.00242926998141768</v>
      </c>
    </row>
    <row r="581" customFormat="false" ht="15" hidden="false" customHeight="false" outlineLevel="0" collapsed="false">
      <c r="A581" s="17" t="n">
        <v>43483</v>
      </c>
      <c r="B581" s="19" t="n">
        <v>0.00392373964431636</v>
      </c>
    </row>
    <row r="582" customFormat="false" ht="15" hidden="false" customHeight="false" outlineLevel="0" collapsed="false">
      <c r="A582" s="17" t="n">
        <v>43487</v>
      </c>
      <c r="B582" s="19" t="n">
        <v>-0.0057508668362567</v>
      </c>
    </row>
    <row r="583" customFormat="false" ht="15" hidden="false" customHeight="false" outlineLevel="0" collapsed="false">
      <c r="A583" s="17" t="n">
        <v>43488</v>
      </c>
      <c r="B583" s="19" t="n">
        <v>0.00151728730067346</v>
      </c>
    </row>
    <row r="584" customFormat="false" ht="15" hidden="false" customHeight="false" outlineLevel="0" collapsed="false">
      <c r="A584" s="17" t="n">
        <v>43489</v>
      </c>
      <c r="B584" s="19" t="n">
        <v>0.00157311599362053</v>
      </c>
    </row>
    <row r="585" customFormat="false" ht="15" hidden="false" customHeight="false" outlineLevel="0" collapsed="false">
      <c r="A585" s="17" t="n">
        <v>43490</v>
      </c>
      <c r="B585" s="19" t="n">
        <v>0.00550526998789613</v>
      </c>
    </row>
    <row r="586" customFormat="false" ht="15" hidden="false" customHeight="false" outlineLevel="0" collapsed="false">
      <c r="A586" s="17" t="n">
        <v>43493</v>
      </c>
      <c r="B586" s="19" t="n">
        <v>-0.00209820189197008</v>
      </c>
    </row>
    <row r="587" customFormat="false" ht="15" hidden="false" customHeight="false" outlineLevel="0" collapsed="false">
      <c r="A587" s="17" t="n">
        <v>43494</v>
      </c>
      <c r="B587" s="19" t="n">
        <v>0.00169667246144845</v>
      </c>
    </row>
    <row r="588" customFormat="false" ht="15" hidden="false" customHeight="false" outlineLevel="0" collapsed="false">
      <c r="A588" s="17" t="n">
        <v>43495</v>
      </c>
      <c r="B588" s="19" t="n">
        <v>0.00705846899050067</v>
      </c>
    </row>
    <row r="589" customFormat="false" ht="15" hidden="false" customHeight="false" outlineLevel="0" collapsed="false">
      <c r="A589" s="17" t="n">
        <v>43496</v>
      </c>
      <c r="B589" s="19" t="n">
        <v>0.00492955197206202</v>
      </c>
    </row>
    <row r="590" customFormat="false" ht="15" hidden="false" customHeight="false" outlineLevel="0" collapsed="false">
      <c r="A590" s="17" t="n">
        <v>43497</v>
      </c>
      <c r="B590" s="19" t="n">
        <v>-0.00142607330031352</v>
      </c>
    </row>
    <row r="591" customFormat="false" ht="15" hidden="false" customHeight="false" outlineLevel="0" collapsed="false">
      <c r="A591" s="17" t="n">
        <v>43500</v>
      </c>
      <c r="B591" s="19" t="n">
        <v>0.00134301834952155</v>
      </c>
    </row>
    <row r="592" customFormat="false" ht="15" hidden="false" customHeight="false" outlineLevel="0" collapsed="false">
      <c r="A592" s="17" t="n">
        <v>43501</v>
      </c>
      <c r="B592" s="19" t="n">
        <v>0.00392140803680774</v>
      </c>
    </row>
    <row r="593" customFormat="false" ht="15" hidden="false" customHeight="false" outlineLevel="0" collapsed="false">
      <c r="A593" s="17" t="n">
        <v>43502</v>
      </c>
      <c r="B593" s="19" t="n">
        <v>-0.00233647396596948</v>
      </c>
    </row>
    <row r="594" customFormat="false" ht="15" hidden="false" customHeight="false" outlineLevel="0" collapsed="false">
      <c r="A594" s="17" t="n">
        <v>43503</v>
      </c>
      <c r="B594" s="19" t="n">
        <v>-0.00311335085432785</v>
      </c>
    </row>
    <row r="595" customFormat="false" ht="15" hidden="false" customHeight="false" outlineLevel="0" collapsed="false">
      <c r="A595" s="17" t="n">
        <v>43504</v>
      </c>
      <c r="B595" s="19" t="n">
        <v>0.000333364641364575</v>
      </c>
    </row>
    <row r="596" customFormat="false" ht="15" hidden="false" customHeight="false" outlineLevel="0" collapsed="false">
      <c r="A596" s="17" t="n">
        <v>43507</v>
      </c>
      <c r="B596" s="19" t="n">
        <v>-0.00136107164541766</v>
      </c>
    </row>
    <row r="597" customFormat="false" ht="15" hidden="false" customHeight="false" outlineLevel="0" collapsed="false">
      <c r="A597" s="17" t="n">
        <v>43508</v>
      </c>
      <c r="B597" s="19" t="n">
        <v>0.00465087233137429</v>
      </c>
    </row>
    <row r="598" customFormat="false" ht="15" hidden="false" customHeight="false" outlineLevel="0" collapsed="false">
      <c r="A598" s="17" t="n">
        <v>43509</v>
      </c>
      <c r="B598" s="19" t="n">
        <v>-9.02849955547458E-005</v>
      </c>
    </row>
    <row r="599" customFormat="false" ht="15" hidden="false" customHeight="false" outlineLevel="0" collapsed="false">
      <c r="A599" s="17" t="n">
        <v>43510</v>
      </c>
      <c r="B599" s="19" t="n">
        <v>0.00104932066207653</v>
      </c>
    </row>
    <row r="600" customFormat="false" ht="15" hidden="false" customHeight="false" outlineLevel="0" collapsed="false">
      <c r="A600" s="17" t="n">
        <v>43511</v>
      </c>
      <c r="B600" s="19" t="n">
        <v>0.00502851322095865</v>
      </c>
    </row>
    <row r="601" customFormat="false" ht="15" hidden="false" customHeight="false" outlineLevel="0" collapsed="false">
      <c r="A601" s="17" t="n">
        <v>43515</v>
      </c>
      <c r="B601" s="19" t="n">
        <v>0.00265777317956628</v>
      </c>
    </row>
    <row r="602" customFormat="false" ht="15" hidden="false" customHeight="false" outlineLevel="0" collapsed="false">
      <c r="A602" s="17" t="n">
        <v>43516</v>
      </c>
      <c r="B602" s="19" t="n">
        <v>0.00117120328572362</v>
      </c>
    </row>
    <row r="603" customFormat="false" ht="15" hidden="false" customHeight="false" outlineLevel="0" collapsed="false">
      <c r="A603" s="17" t="n">
        <v>43517</v>
      </c>
      <c r="B603" s="19" t="n">
        <v>-0.00273089932592308</v>
      </c>
    </row>
    <row r="604" customFormat="false" ht="15" hidden="false" customHeight="false" outlineLevel="0" collapsed="false">
      <c r="A604" s="17" t="n">
        <v>43518</v>
      </c>
      <c r="B604" s="19" t="n">
        <v>0.004155571420011</v>
      </c>
    </row>
    <row r="605" customFormat="false" ht="15" hidden="false" customHeight="false" outlineLevel="0" collapsed="false">
      <c r="A605" s="17" t="n">
        <v>43521</v>
      </c>
      <c r="B605" s="19" t="n">
        <v>0.000562885697512838</v>
      </c>
    </row>
    <row r="606" customFormat="false" ht="15" hidden="false" customHeight="false" outlineLevel="0" collapsed="false">
      <c r="A606" s="17" t="n">
        <v>43522</v>
      </c>
      <c r="B606" s="19" t="n">
        <v>0.000444843235549719</v>
      </c>
    </row>
    <row r="607" customFormat="false" ht="15" hidden="false" customHeight="false" outlineLevel="0" collapsed="false">
      <c r="A607" s="17" t="n">
        <v>43523</v>
      </c>
      <c r="B607" s="19" t="n">
        <v>-0.0021381755594323</v>
      </c>
    </row>
    <row r="608" customFormat="false" ht="15" hidden="false" customHeight="false" outlineLevel="0" collapsed="false">
      <c r="A608" s="17" t="n">
        <v>43524</v>
      </c>
      <c r="B608" s="19" t="n">
        <v>-0.0016811907685389</v>
      </c>
    </row>
    <row r="609" customFormat="false" ht="15" hidden="false" customHeight="false" outlineLevel="0" collapsed="false">
      <c r="A609" s="17" t="n">
        <v>43525</v>
      </c>
      <c r="B609" s="19" t="n">
        <v>-0.000186749890286886</v>
      </c>
    </row>
    <row r="610" customFormat="false" ht="15" hidden="false" customHeight="false" outlineLevel="0" collapsed="false">
      <c r="A610" s="17" t="n">
        <v>43528</v>
      </c>
      <c r="B610" s="19" t="n">
        <v>-0.000910076375841062</v>
      </c>
    </row>
    <row r="611" customFormat="false" ht="15" hidden="false" customHeight="false" outlineLevel="0" collapsed="false">
      <c r="A611" s="17" t="n">
        <v>43529</v>
      </c>
      <c r="B611" s="19" t="n">
        <v>0.000636259737646361</v>
      </c>
    </row>
    <row r="612" customFormat="false" ht="15" hidden="false" customHeight="false" outlineLevel="0" collapsed="false">
      <c r="A612" s="17" t="n">
        <v>43530</v>
      </c>
      <c r="B612" s="19" t="n">
        <v>-0.00290760395393153</v>
      </c>
    </row>
    <row r="613" customFormat="false" ht="15" hidden="false" customHeight="false" outlineLevel="0" collapsed="false">
      <c r="A613" s="17" t="n">
        <v>43531</v>
      </c>
      <c r="B613" s="19" t="n">
        <v>-0.00318065473767526</v>
      </c>
    </row>
    <row r="614" customFormat="false" ht="15" hidden="false" customHeight="false" outlineLevel="0" collapsed="false">
      <c r="A614" s="17" t="n">
        <v>43532</v>
      </c>
      <c r="B614" s="19" t="n">
        <v>0.000450525567405657</v>
      </c>
    </row>
    <row r="615" customFormat="false" ht="15" hidden="false" customHeight="false" outlineLevel="0" collapsed="false">
      <c r="A615" s="17" t="n">
        <v>43535</v>
      </c>
      <c r="B615" s="19" t="n">
        <v>0.00561191365878666</v>
      </c>
    </row>
    <row r="616" customFormat="false" ht="15" hidden="false" customHeight="false" outlineLevel="0" collapsed="false">
      <c r="A616" s="17" t="n">
        <v>43536</v>
      </c>
      <c r="B616" s="19" t="n">
        <v>0.00228543817350579</v>
      </c>
    </row>
    <row r="617" customFormat="false" ht="15" hidden="false" customHeight="false" outlineLevel="0" collapsed="false">
      <c r="A617" s="17" t="n">
        <v>43537</v>
      </c>
      <c r="B617" s="19" t="n">
        <v>0.00343670227080661</v>
      </c>
    </row>
    <row r="618" customFormat="false" ht="15" hidden="false" customHeight="false" outlineLevel="0" collapsed="false">
      <c r="A618" s="17" t="n">
        <v>43538</v>
      </c>
      <c r="B618" s="19" t="n">
        <v>-0.00150000718582044</v>
      </c>
    </row>
    <row r="619" customFormat="false" ht="15" hidden="false" customHeight="false" outlineLevel="0" collapsed="false">
      <c r="A619" s="17" t="n">
        <v>43539</v>
      </c>
      <c r="B619" s="19" t="n">
        <v>0.0038816667459376</v>
      </c>
    </row>
    <row r="620" customFormat="false" ht="15" hidden="false" customHeight="false" outlineLevel="0" collapsed="false">
      <c r="A620" s="17" t="n">
        <v>43542</v>
      </c>
      <c r="B620" s="19" t="n">
        <v>0.00219555281540762</v>
      </c>
    </row>
    <row r="621" customFormat="false" ht="15" hidden="false" customHeight="false" outlineLevel="0" collapsed="false">
      <c r="A621" s="17" t="n">
        <v>43543</v>
      </c>
      <c r="B621" s="19" t="n">
        <v>6.63206723345855E-005</v>
      </c>
    </row>
    <row r="622" customFormat="false" ht="15" hidden="false" customHeight="false" outlineLevel="0" collapsed="false">
      <c r="A622" s="17" t="n">
        <v>43544</v>
      </c>
      <c r="B622" s="19" t="n">
        <v>0.00140459471765642</v>
      </c>
    </row>
    <row r="623" customFormat="false" ht="15" hidden="false" customHeight="false" outlineLevel="0" collapsed="false">
      <c r="A623" s="17" t="n">
        <v>43545</v>
      </c>
      <c r="B623" s="19" t="n">
        <v>0.00381636315094358</v>
      </c>
    </row>
    <row r="624" customFormat="false" ht="15" hidden="false" customHeight="false" outlineLevel="0" collapsed="false">
      <c r="A624" s="17" t="n">
        <v>43546</v>
      </c>
      <c r="B624" s="19" t="n">
        <v>-0.00724961805958868</v>
      </c>
    </row>
    <row r="625" customFormat="false" ht="15" hidden="false" customHeight="false" outlineLevel="0" collapsed="false">
      <c r="A625" s="17" t="n">
        <v>43549</v>
      </c>
      <c r="B625" s="19" t="n">
        <v>0.00114662406069521</v>
      </c>
    </row>
    <row r="626" customFormat="false" ht="15" hidden="false" customHeight="false" outlineLevel="0" collapsed="false">
      <c r="A626" s="17" t="n">
        <v>43550</v>
      </c>
      <c r="B626" s="19" t="n">
        <v>0.002501437938772</v>
      </c>
    </row>
    <row r="627" customFormat="false" ht="15" hidden="false" customHeight="false" outlineLevel="0" collapsed="false">
      <c r="A627" s="17" t="n">
        <v>43551</v>
      </c>
      <c r="B627" s="19" t="n">
        <v>-0.00143351579482087</v>
      </c>
    </row>
    <row r="628" customFormat="false" ht="15" hidden="false" customHeight="false" outlineLevel="0" collapsed="false">
      <c r="A628" s="17" t="n">
        <v>43552</v>
      </c>
      <c r="B628" s="19" t="n">
        <v>0.00125386654728921</v>
      </c>
    </row>
    <row r="629" customFormat="false" ht="15" hidden="false" customHeight="false" outlineLevel="0" collapsed="false">
      <c r="A629" s="17" t="n">
        <v>43553</v>
      </c>
      <c r="B629" s="19" t="n">
        <v>0.00277562890603122</v>
      </c>
    </row>
    <row r="630" customFormat="false" ht="15" hidden="false" customHeight="false" outlineLevel="0" collapsed="false">
      <c r="A630" s="17" t="n">
        <v>43556</v>
      </c>
      <c r="B630" s="19" t="n">
        <v>0.00335602686730163</v>
      </c>
    </row>
    <row r="631" customFormat="false" ht="15" hidden="false" customHeight="false" outlineLevel="0" collapsed="false">
      <c r="A631" s="17" t="n">
        <v>43557</v>
      </c>
      <c r="B631" s="19" t="n">
        <v>0.000542862515722664</v>
      </c>
    </row>
    <row r="632" customFormat="false" ht="15" hidden="false" customHeight="false" outlineLevel="0" collapsed="false">
      <c r="A632" s="17" t="n">
        <v>43558</v>
      </c>
      <c r="B632" s="19" t="n">
        <v>0.00102068321115012</v>
      </c>
    </row>
    <row r="633" customFormat="false" ht="15" hidden="false" customHeight="false" outlineLevel="0" collapsed="false">
      <c r="A633" s="17" t="n">
        <v>43559</v>
      </c>
      <c r="B633" s="19" t="n">
        <v>0.00162680398052362</v>
      </c>
    </row>
    <row r="634" customFormat="false" ht="15" hidden="false" customHeight="false" outlineLevel="0" collapsed="false">
      <c r="A634" s="17" t="n">
        <v>43560</v>
      </c>
      <c r="B634" s="19" t="n">
        <v>0.00229691233082652</v>
      </c>
    </row>
    <row r="635" customFormat="false" ht="15" hidden="false" customHeight="false" outlineLevel="0" collapsed="false">
      <c r="A635" s="17" t="n">
        <v>43563</v>
      </c>
      <c r="B635" s="19" t="n">
        <v>0.000183444714740411</v>
      </c>
    </row>
    <row r="636" customFormat="false" ht="15" hidden="false" customHeight="false" outlineLevel="0" collapsed="false">
      <c r="A636" s="17" t="n">
        <v>43564</v>
      </c>
      <c r="B636" s="19" t="n">
        <v>-0.00162165580885532</v>
      </c>
    </row>
    <row r="637" customFormat="false" ht="15" hidden="false" customHeight="false" outlineLevel="0" collapsed="false">
      <c r="A637" s="17" t="n">
        <v>43565</v>
      </c>
      <c r="B637" s="19" t="n">
        <v>0.00342898170917549</v>
      </c>
    </row>
    <row r="638" customFormat="false" ht="15" hidden="false" customHeight="false" outlineLevel="0" collapsed="false">
      <c r="A638" s="17" t="n">
        <v>43566</v>
      </c>
      <c r="B638" s="19" t="n">
        <v>-0.00251524662501768</v>
      </c>
    </row>
    <row r="639" customFormat="false" ht="15" hidden="false" customHeight="false" outlineLevel="0" collapsed="false">
      <c r="A639" s="17" t="n">
        <v>43567</v>
      </c>
      <c r="B639" s="19" t="n">
        <v>0.00231610571001562</v>
      </c>
    </row>
    <row r="640" customFormat="false" ht="15" hidden="false" customHeight="false" outlineLevel="0" collapsed="false">
      <c r="A640" s="17" t="n">
        <v>43570</v>
      </c>
      <c r="B640" s="19" t="n">
        <v>-0.000227087144086369</v>
      </c>
    </row>
    <row r="641" customFormat="false" ht="15" hidden="false" customHeight="false" outlineLevel="0" collapsed="false">
      <c r="A641" s="17" t="n">
        <v>43571</v>
      </c>
      <c r="B641" s="19" t="n">
        <v>-0.00128875081171564</v>
      </c>
    </row>
    <row r="642" customFormat="false" ht="15" hidden="false" customHeight="false" outlineLevel="0" collapsed="false">
      <c r="A642" s="17" t="n">
        <v>43572</v>
      </c>
      <c r="B642" s="19" t="n">
        <v>-0.000607138264365537</v>
      </c>
    </row>
    <row r="643" customFormat="false" ht="15" hidden="false" customHeight="false" outlineLevel="0" collapsed="false">
      <c r="A643" s="17" t="n">
        <v>43573</v>
      </c>
      <c r="B643" s="19" t="n">
        <v>0.00140881086944611</v>
      </c>
    </row>
    <row r="644" customFormat="false" ht="15" hidden="false" customHeight="false" outlineLevel="0" collapsed="false">
      <c r="A644" s="17" t="n">
        <v>43577</v>
      </c>
      <c r="B644" s="19" t="n">
        <v>-0.000839125237753757</v>
      </c>
    </row>
    <row r="645" customFormat="false" ht="15" hidden="false" customHeight="false" outlineLevel="0" collapsed="false">
      <c r="A645" s="17" t="n">
        <v>43578</v>
      </c>
      <c r="B645" s="19" t="n">
        <v>0.00392409564511365</v>
      </c>
    </row>
    <row r="646" customFormat="false" ht="15" hidden="false" customHeight="false" outlineLevel="0" collapsed="false">
      <c r="A646" s="17" t="n">
        <v>43579</v>
      </c>
      <c r="B646" s="19" t="n">
        <v>-0.000377945824876269</v>
      </c>
    </row>
    <row r="647" customFormat="false" ht="15" hidden="false" customHeight="false" outlineLevel="0" collapsed="false">
      <c r="A647" s="17" t="n">
        <v>43580</v>
      </c>
      <c r="B647" s="19" t="n">
        <v>-0.000443182488567118</v>
      </c>
    </row>
    <row r="648" customFormat="false" ht="15" hidden="false" customHeight="false" outlineLevel="0" collapsed="false">
      <c r="A648" s="17" t="n">
        <v>43581</v>
      </c>
      <c r="B648" s="19" t="n">
        <v>0.00337991409709981</v>
      </c>
    </row>
    <row r="649" customFormat="false" ht="15" hidden="false" customHeight="false" outlineLevel="0" collapsed="false">
      <c r="A649" s="17" t="n">
        <v>43584</v>
      </c>
      <c r="B649" s="19" t="n">
        <v>-0.00111293971980264</v>
      </c>
    </row>
    <row r="650" customFormat="false" ht="15" hidden="false" customHeight="false" outlineLevel="0" collapsed="false">
      <c r="A650" s="17" t="n">
        <v>43585</v>
      </c>
      <c r="B650" s="19" t="n">
        <v>0.00125203262461393</v>
      </c>
    </row>
    <row r="651" customFormat="false" ht="15" hidden="false" customHeight="false" outlineLevel="0" collapsed="false">
      <c r="A651" s="17" t="n">
        <v>43586</v>
      </c>
      <c r="B651" s="19" t="n">
        <v>-0.00351659252559855</v>
      </c>
    </row>
    <row r="652" customFormat="false" ht="15" hidden="false" customHeight="false" outlineLevel="0" collapsed="false">
      <c r="A652" s="17" t="n">
        <v>43587</v>
      </c>
      <c r="B652" s="19" t="n">
        <v>-0.0014953511211524</v>
      </c>
    </row>
    <row r="653" customFormat="false" ht="15" hidden="false" customHeight="false" outlineLevel="0" collapsed="false">
      <c r="A653" s="17" t="n">
        <v>43588</v>
      </c>
      <c r="B653" s="19" t="n">
        <v>0.00575727355565503</v>
      </c>
    </row>
    <row r="654" customFormat="false" ht="15" hidden="false" customHeight="false" outlineLevel="0" collapsed="false">
      <c r="A654" s="17" t="n">
        <v>43591</v>
      </c>
      <c r="B654" s="19" t="n">
        <v>-0.00348345036327746</v>
      </c>
    </row>
    <row r="655" customFormat="false" ht="15" hidden="false" customHeight="false" outlineLevel="0" collapsed="false">
      <c r="A655" s="17" t="n">
        <v>43592</v>
      </c>
      <c r="B655" s="19" t="n">
        <v>-0.00751604471356548</v>
      </c>
    </row>
    <row r="656" customFormat="false" ht="15" hidden="false" customHeight="false" outlineLevel="0" collapsed="false">
      <c r="A656" s="17" t="n">
        <v>43593</v>
      </c>
      <c r="B656" s="19" t="n">
        <v>-0.00140374492373463</v>
      </c>
    </row>
    <row r="657" customFormat="false" ht="15" hidden="false" customHeight="false" outlineLevel="0" collapsed="false">
      <c r="A657" s="17" t="n">
        <v>43594</v>
      </c>
      <c r="B657" s="19" t="n">
        <v>-0.00207667235770481</v>
      </c>
    </row>
    <row r="658" customFormat="false" ht="15" hidden="false" customHeight="false" outlineLevel="0" collapsed="false">
      <c r="A658" s="17" t="n">
        <v>43595</v>
      </c>
      <c r="B658" s="19" t="n">
        <v>0.00291602398556123</v>
      </c>
    </row>
    <row r="659" customFormat="false" ht="15" hidden="false" customHeight="false" outlineLevel="0" collapsed="false">
      <c r="A659" s="17" t="n">
        <v>43598</v>
      </c>
      <c r="B659" s="19" t="n">
        <v>-0.0114392226817321</v>
      </c>
    </row>
    <row r="660" customFormat="false" ht="15" hidden="false" customHeight="false" outlineLevel="0" collapsed="false">
      <c r="A660" s="17" t="n">
        <v>43599</v>
      </c>
      <c r="B660" s="19" t="n">
        <v>0.0045973995229085</v>
      </c>
    </row>
    <row r="661" customFormat="false" ht="15" hidden="false" customHeight="false" outlineLevel="0" collapsed="false">
      <c r="A661" s="17" t="n">
        <v>43600</v>
      </c>
      <c r="B661" s="19" t="n">
        <v>0.00275558163562528</v>
      </c>
    </row>
    <row r="662" customFormat="false" ht="15" hidden="false" customHeight="false" outlineLevel="0" collapsed="false">
      <c r="A662" s="17" t="n">
        <v>43601</v>
      </c>
      <c r="B662" s="19" t="n">
        <v>0.00213777984975638</v>
      </c>
    </row>
    <row r="663" customFormat="false" ht="15" hidden="false" customHeight="false" outlineLevel="0" collapsed="false">
      <c r="A663" s="17" t="n">
        <v>43602</v>
      </c>
      <c r="B663" s="19" t="n">
        <v>-0.00396431119751184</v>
      </c>
    </row>
    <row r="664" customFormat="false" ht="15" hidden="false" customHeight="false" outlineLevel="0" collapsed="false">
      <c r="A664" s="17" t="n">
        <v>43605</v>
      </c>
      <c r="B664" s="19" t="n">
        <v>-0.00443609257286071</v>
      </c>
    </row>
    <row r="665" customFormat="false" ht="15" hidden="false" customHeight="false" outlineLevel="0" collapsed="false">
      <c r="A665" s="17" t="n">
        <v>43606</v>
      </c>
      <c r="B665" s="19" t="n">
        <v>0.0044938484360475</v>
      </c>
    </row>
    <row r="666" customFormat="false" ht="15" hidden="false" customHeight="false" outlineLevel="0" collapsed="false">
      <c r="A666" s="17" t="n">
        <v>43607</v>
      </c>
      <c r="B666" s="19" t="n">
        <v>-0.000614368271503296</v>
      </c>
    </row>
    <row r="667" customFormat="false" ht="15" hidden="false" customHeight="false" outlineLevel="0" collapsed="false">
      <c r="A667" s="17" t="n">
        <v>43608</v>
      </c>
      <c r="B667" s="19" t="n">
        <v>-0.00361193884093902</v>
      </c>
    </row>
    <row r="668" customFormat="false" ht="15" hidden="false" customHeight="false" outlineLevel="0" collapsed="false">
      <c r="A668" s="17" t="n">
        <v>43609</v>
      </c>
      <c r="B668" s="19" t="n">
        <v>0.00238668701603517</v>
      </c>
    </row>
    <row r="669" customFormat="false" ht="15" hidden="false" customHeight="false" outlineLevel="0" collapsed="false">
      <c r="A669" s="17" t="n">
        <v>43613</v>
      </c>
      <c r="B669" s="19" t="n">
        <v>-0.00231662555378287</v>
      </c>
    </row>
    <row r="670" customFormat="false" ht="15" hidden="false" customHeight="false" outlineLevel="0" collapsed="false">
      <c r="A670" s="17" t="n">
        <v>43614</v>
      </c>
      <c r="B670" s="19" t="n">
        <v>-0.00206884613479785</v>
      </c>
    </row>
    <row r="671" customFormat="false" ht="15" hidden="false" customHeight="false" outlineLevel="0" collapsed="false">
      <c r="A671" s="17" t="n">
        <v>43615</v>
      </c>
      <c r="B671" s="19" t="n">
        <v>0.00293567989607646</v>
      </c>
    </row>
    <row r="672" customFormat="false" ht="15" hidden="false" customHeight="false" outlineLevel="0" collapsed="false">
      <c r="A672" s="17" t="n">
        <v>43616</v>
      </c>
      <c r="B672" s="19" t="n">
        <v>-0.000593205005211206</v>
      </c>
    </row>
    <row r="673" customFormat="false" ht="15" hidden="false" customHeight="false" outlineLevel="0" collapsed="false">
      <c r="A673" s="17" t="n">
        <v>43619</v>
      </c>
      <c r="B673" s="19" t="n">
        <v>0.00245921413869277</v>
      </c>
    </row>
    <row r="674" customFormat="false" ht="15" hidden="false" customHeight="false" outlineLevel="0" collapsed="false">
      <c r="A674" s="17" t="n">
        <v>43620</v>
      </c>
      <c r="B674" s="19" t="n">
        <v>0.00622923866917469</v>
      </c>
    </row>
    <row r="675" customFormat="false" ht="15" hidden="false" customHeight="false" outlineLevel="0" collapsed="false">
      <c r="A675" s="17" t="n">
        <v>43621</v>
      </c>
      <c r="B675" s="19" t="n">
        <v>0.00188334284407432</v>
      </c>
    </row>
    <row r="676" customFormat="false" ht="15" hidden="false" customHeight="false" outlineLevel="0" collapsed="false">
      <c r="A676" s="17" t="n">
        <v>43622</v>
      </c>
      <c r="B676" s="19" t="n">
        <v>0.0022388890104561</v>
      </c>
    </row>
    <row r="677" customFormat="false" ht="15" hidden="false" customHeight="false" outlineLevel="0" collapsed="false">
      <c r="A677" s="17" t="n">
        <v>43623</v>
      </c>
      <c r="B677" s="19" t="n">
        <v>0.00559065076282383</v>
      </c>
    </row>
    <row r="678" customFormat="false" ht="15" hidden="false" customHeight="false" outlineLevel="0" collapsed="false">
      <c r="A678" s="17" t="n">
        <v>43626</v>
      </c>
      <c r="B678" s="19" t="n">
        <v>0.00058668045810073</v>
      </c>
    </row>
    <row r="679" customFormat="false" ht="15" hidden="false" customHeight="false" outlineLevel="0" collapsed="false">
      <c r="A679" s="17" t="n">
        <v>43627</v>
      </c>
      <c r="B679" s="19" t="n">
        <v>0.00131532537857693</v>
      </c>
    </row>
    <row r="680" customFormat="false" ht="15" hidden="false" customHeight="false" outlineLevel="0" collapsed="false">
      <c r="A680" s="17" t="n">
        <v>43628</v>
      </c>
      <c r="B680" s="19" t="n">
        <v>-0.000719537416501104</v>
      </c>
    </row>
    <row r="681" customFormat="false" ht="15" hidden="false" customHeight="false" outlineLevel="0" collapsed="false">
      <c r="A681" s="17" t="n">
        <v>43629</v>
      </c>
      <c r="B681" s="19" t="n">
        <v>0.0015021081317752</v>
      </c>
    </row>
    <row r="682" customFormat="false" ht="15" hidden="false" customHeight="false" outlineLevel="0" collapsed="false">
      <c r="A682" s="17" t="n">
        <v>43630</v>
      </c>
      <c r="B682" s="19" t="n">
        <v>-0.00212021109895222</v>
      </c>
    </row>
    <row r="683" customFormat="false" ht="15" hidden="false" customHeight="false" outlineLevel="0" collapsed="false">
      <c r="A683" s="17" t="n">
        <v>43633</v>
      </c>
      <c r="B683" s="19" t="n">
        <v>0.000732174417691578</v>
      </c>
    </row>
    <row r="684" customFormat="false" ht="15" hidden="false" customHeight="false" outlineLevel="0" collapsed="false">
      <c r="A684" s="17" t="n">
        <v>43634</v>
      </c>
      <c r="B684" s="19" t="n">
        <v>0.00720172673854314</v>
      </c>
    </row>
    <row r="685" customFormat="false" ht="15" hidden="false" customHeight="false" outlineLevel="0" collapsed="false">
      <c r="A685" s="17" t="n">
        <v>43635</v>
      </c>
      <c r="B685" s="19" t="n">
        <v>0.0036313066420175</v>
      </c>
    </row>
    <row r="686" customFormat="false" ht="15" hidden="false" customHeight="false" outlineLevel="0" collapsed="false">
      <c r="A686" s="17" t="n">
        <v>43636</v>
      </c>
      <c r="B686" s="19" t="n">
        <v>0.00677441587117045</v>
      </c>
    </row>
    <row r="687" customFormat="false" ht="15" hidden="false" customHeight="false" outlineLevel="0" collapsed="false">
      <c r="A687" s="17" t="n">
        <v>43637</v>
      </c>
      <c r="B687" s="19" t="n">
        <v>-0.00207803720397193</v>
      </c>
    </row>
    <row r="688" customFormat="false" ht="15" hidden="false" customHeight="false" outlineLevel="0" collapsed="false">
      <c r="A688" s="17" t="n">
        <v>43640</v>
      </c>
      <c r="B688" s="19" t="n">
        <v>-0.000490581211185837</v>
      </c>
    </row>
    <row r="689" customFormat="false" ht="15" hidden="false" customHeight="false" outlineLevel="0" collapsed="false">
      <c r="A689" s="17" t="n">
        <v>43641</v>
      </c>
      <c r="B689" s="19" t="n">
        <v>-0.00372706321074745</v>
      </c>
    </row>
    <row r="690" customFormat="false" ht="15" hidden="false" customHeight="false" outlineLevel="0" collapsed="false">
      <c r="A690" s="17" t="n">
        <v>43642</v>
      </c>
      <c r="B690" s="19" t="n">
        <v>-0.00164302809303096</v>
      </c>
    </row>
    <row r="691" customFormat="false" ht="15" hidden="false" customHeight="false" outlineLevel="0" collapsed="false">
      <c r="A691" s="17" t="n">
        <v>43643</v>
      </c>
      <c r="B691" s="19" t="n">
        <v>0.00417108716722958</v>
      </c>
    </row>
    <row r="692" customFormat="false" ht="15" hidden="false" customHeight="false" outlineLevel="0" collapsed="false">
      <c r="A692" s="17" t="n">
        <v>43644</v>
      </c>
      <c r="B692" s="19" t="n">
        <v>0.00242606076548912</v>
      </c>
    </row>
    <row r="693" customFormat="false" ht="15" hidden="false" customHeight="false" outlineLevel="0" collapsed="false">
      <c r="A693" s="17" t="n">
        <v>43647</v>
      </c>
      <c r="B693" s="19" t="n">
        <v>0.00151983879606332</v>
      </c>
    </row>
    <row r="694" customFormat="false" ht="15" hidden="false" customHeight="false" outlineLevel="0" collapsed="false">
      <c r="A694" s="17" t="n">
        <v>43648</v>
      </c>
      <c r="B694" s="19" t="n">
        <v>0.0031206135168107</v>
      </c>
    </row>
    <row r="695" customFormat="false" ht="15" hidden="false" customHeight="false" outlineLevel="0" collapsed="false">
      <c r="A695" s="17" t="n">
        <v>43649</v>
      </c>
      <c r="B695" s="19" t="n">
        <v>0.00401362491697643</v>
      </c>
    </row>
    <row r="696" customFormat="false" ht="15" hidden="false" customHeight="false" outlineLevel="0" collapsed="false">
      <c r="A696" s="17" t="n">
        <v>43651</v>
      </c>
      <c r="B696" s="19" t="n">
        <v>-0.00417458643813073</v>
      </c>
    </row>
    <row r="697" customFormat="false" ht="15" hidden="false" customHeight="false" outlineLevel="0" collapsed="false">
      <c r="A697" s="17" t="n">
        <v>43654</v>
      </c>
      <c r="B697" s="19" t="n">
        <v>-0.00212184037720509</v>
      </c>
    </row>
    <row r="698" customFormat="false" ht="15" hidden="false" customHeight="false" outlineLevel="0" collapsed="false">
      <c r="A698" s="17" t="n">
        <v>43655</v>
      </c>
      <c r="B698" s="19" t="n">
        <v>-8.18531513169241E-005</v>
      </c>
    </row>
    <row r="699" customFormat="false" ht="15" hidden="false" customHeight="false" outlineLevel="0" collapsed="false">
      <c r="A699" s="17" t="n">
        <v>43656</v>
      </c>
      <c r="B699" s="19" t="n">
        <v>0.00425501667340478</v>
      </c>
    </row>
    <row r="700" customFormat="false" ht="15" hidden="false" customHeight="false" outlineLevel="0" collapsed="false">
      <c r="A700" s="17" t="n">
        <v>43657</v>
      </c>
      <c r="B700" s="19" t="n">
        <v>-0.00212749631511344</v>
      </c>
    </row>
    <row r="701" customFormat="false" ht="15" hidden="false" customHeight="false" outlineLevel="0" collapsed="false">
      <c r="A701" s="17" t="n">
        <v>43658</v>
      </c>
      <c r="B701" s="19" t="n">
        <v>0.00194307703189289</v>
      </c>
    </row>
    <row r="702" customFormat="false" ht="15" hidden="false" customHeight="false" outlineLevel="0" collapsed="false">
      <c r="A702" s="17" t="n">
        <v>43661</v>
      </c>
      <c r="B702" s="19" t="n">
        <v>0.00132711022288201</v>
      </c>
    </row>
    <row r="703" customFormat="false" ht="15" hidden="false" customHeight="false" outlineLevel="0" collapsed="false">
      <c r="A703" s="17" t="n">
        <v>43662</v>
      </c>
      <c r="B703" s="19" t="n">
        <v>-0.00212183787796028</v>
      </c>
    </row>
    <row r="704" customFormat="false" ht="15" hidden="false" customHeight="false" outlineLevel="0" collapsed="false">
      <c r="A704" s="17" t="n">
        <v>43663</v>
      </c>
      <c r="B704" s="19" t="n">
        <v>0.000361430912327876</v>
      </c>
    </row>
    <row r="705" customFormat="false" ht="15" hidden="false" customHeight="false" outlineLevel="0" collapsed="false">
      <c r="A705" s="17" t="n">
        <v>43664</v>
      </c>
      <c r="B705" s="19" t="n">
        <v>0.00376634556118893</v>
      </c>
    </row>
    <row r="706" customFormat="false" ht="15" hidden="false" customHeight="false" outlineLevel="0" collapsed="false">
      <c r="A706" s="17" t="n">
        <v>43665</v>
      </c>
      <c r="B706" s="19" t="n">
        <v>-0.00400668608146915</v>
      </c>
    </row>
    <row r="707" customFormat="false" ht="15" hidden="false" customHeight="false" outlineLevel="0" collapsed="false">
      <c r="A707" s="17" t="n">
        <v>43668</v>
      </c>
      <c r="B707" s="19" t="n">
        <v>0.000417678801136967</v>
      </c>
    </row>
    <row r="708" customFormat="false" ht="15" hidden="false" customHeight="false" outlineLevel="0" collapsed="false">
      <c r="A708" s="17" t="n">
        <v>43669</v>
      </c>
      <c r="B708" s="19" t="n">
        <v>0.00175325764834389</v>
      </c>
    </row>
    <row r="709" customFormat="false" ht="15" hidden="false" customHeight="false" outlineLevel="0" collapsed="false">
      <c r="A709" s="17" t="n">
        <v>43670</v>
      </c>
      <c r="B709" s="19" t="n">
        <v>0.00244245787263964</v>
      </c>
    </row>
    <row r="710" customFormat="false" ht="15" hidden="false" customHeight="false" outlineLevel="0" collapsed="false">
      <c r="A710" s="17" t="n">
        <v>43671</v>
      </c>
      <c r="B710" s="19" t="n">
        <v>-0.0036178444506928</v>
      </c>
    </row>
    <row r="711" customFormat="false" ht="15" hidden="false" customHeight="false" outlineLevel="0" collapsed="false">
      <c r="A711" s="17" t="n">
        <v>43672</v>
      </c>
      <c r="B711" s="19" t="n">
        <v>0.00245210675965724</v>
      </c>
    </row>
    <row r="712" customFormat="false" ht="15" hidden="false" customHeight="false" outlineLevel="0" collapsed="false">
      <c r="A712" s="17" t="n">
        <v>43675</v>
      </c>
      <c r="B712" s="19" t="n">
        <v>-0.000215518750714905</v>
      </c>
    </row>
    <row r="713" customFormat="false" ht="15" hidden="false" customHeight="false" outlineLevel="0" collapsed="false">
      <c r="A713" s="17" t="n">
        <v>43676</v>
      </c>
      <c r="B713" s="19" t="n">
        <v>-0.0012172054226367</v>
      </c>
    </row>
    <row r="714" customFormat="false" ht="15" hidden="false" customHeight="false" outlineLevel="0" collapsed="false">
      <c r="A714" s="17" t="n">
        <v>43677</v>
      </c>
      <c r="B714" s="19" t="n">
        <v>-0.00464655377589229</v>
      </c>
    </row>
    <row r="715" customFormat="false" ht="15" hidden="false" customHeight="false" outlineLevel="0" collapsed="false">
      <c r="A715" s="17" t="n">
        <v>43678</v>
      </c>
      <c r="B715" s="19" t="n">
        <v>0.000145837570432406</v>
      </c>
    </row>
    <row r="716" customFormat="false" ht="15" hidden="false" customHeight="false" outlineLevel="0" collapsed="false">
      <c r="A716" s="17" t="n">
        <v>43679</v>
      </c>
      <c r="B716" s="19" t="n">
        <v>-0.00358159936113922</v>
      </c>
    </row>
    <row r="717" customFormat="false" ht="15" hidden="false" customHeight="false" outlineLevel="0" collapsed="false">
      <c r="A717" s="17" t="n">
        <v>43682</v>
      </c>
      <c r="B717" s="19" t="n">
        <v>-0.0100059790329319</v>
      </c>
    </row>
    <row r="718" customFormat="false" ht="15" hidden="false" customHeight="false" outlineLevel="0" collapsed="false">
      <c r="A718" s="17" t="n">
        <v>43683</v>
      </c>
      <c r="B718" s="19" t="n">
        <v>0.00695622355534686</v>
      </c>
    </row>
    <row r="719" customFormat="false" ht="15" hidden="false" customHeight="false" outlineLevel="0" collapsed="false">
      <c r="A719" s="17" t="n">
        <v>43684</v>
      </c>
      <c r="B719" s="19" t="n">
        <v>0.00265133735867829</v>
      </c>
    </row>
    <row r="720" customFormat="false" ht="15" hidden="false" customHeight="false" outlineLevel="0" collapsed="false">
      <c r="A720" s="17" t="n">
        <v>43685</v>
      </c>
      <c r="B720" s="19" t="n">
        <v>0.00796976267000416</v>
      </c>
    </row>
    <row r="721" customFormat="false" ht="15" hidden="false" customHeight="false" outlineLevel="0" collapsed="false">
      <c r="A721" s="17" t="n">
        <v>43686</v>
      </c>
      <c r="B721" s="19" t="n">
        <v>-0.0040077370664624</v>
      </c>
    </row>
    <row r="722" customFormat="false" ht="15" hidden="false" customHeight="false" outlineLevel="0" collapsed="false">
      <c r="A722" s="17" t="n">
        <v>43689</v>
      </c>
      <c r="B722" s="19" t="n">
        <v>-0.00245322595917064</v>
      </c>
    </row>
    <row r="723" customFormat="false" ht="15" hidden="false" customHeight="false" outlineLevel="0" collapsed="false">
      <c r="A723" s="17" t="n">
        <v>43690</v>
      </c>
      <c r="B723" s="19" t="n">
        <v>0.00407805701866604</v>
      </c>
    </row>
    <row r="724" customFormat="false" ht="15" hidden="false" customHeight="false" outlineLevel="0" collapsed="false">
      <c r="A724" s="17" t="n">
        <v>43691</v>
      </c>
      <c r="B724" s="19" t="n">
        <v>-0.010027838721134</v>
      </c>
    </row>
    <row r="725" customFormat="false" ht="15" hidden="false" customHeight="false" outlineLevel="0" collapsed="false">
      <c r="A725" s="17" t="n">
        <v>43692</v>
      </c>
      <c r="B725" s="19" t="n">
        <v>0.00407392305017673</v>
      </c>
    </row>
    <row r="726" customFormat="false" ht="15" hidden="false" customHeight="false" outlineLevel="0" collapsed="false">
      <c r="A726" s="17" t="n">
        <v>43693</v>
      </c>
      <c r="B726" s="19" t="n">
        <v>0.00476247919804362</v>
      </c>
    </row>
    <row r="727" customFormat="false" ht="15" hidden="false" customHeight="false" outlineLevel="0" collapsed="false">
      <c r="A727" s="17" t="n">
        <v>43696</v>
      </c>
      <c r="B727" s="19" t="n">
        <v>0.00134064827767677</v>
      </c>
    </row>
    <row r="728" customFormat="false" ht="15" hidden="false" customHeight="false" outlineLevel="0" collapsed="false">
      <c r="A728" s="17" t="n">
        <v>43697</v>
      </c>
      <c r="B728" s="19" t="n">
        <v>-0.000454172765457672</v>
      </c>
    </row>
    <row r="729" customFormat="false" ht="15" hidden="false" customHeight="false" outlineLevel="0" collapsed="false">
      <c r="A729" s="17" t="n">
        <v>43698</v>
      </c>
      <c r="B729" s="19" t="n">
        <v>0.00244084266200151</v>
      </c>
    </row>
    <row r="730" customFormat="false" ht="15" hidden="false" customHeight="false" outlineLevel="0" collapsed="false">
      <c r="A730" s="17" t="n">
        <v>43699</v>
      </c>
      <c r="B730" s="19" t="n">
        <v>-0.00196004784519854</v>
      </c>
    </row>
    <row r="731" customFormat="false" ht="15" hidden="false" customHeight="false" outlineLevel="0" collapsed="false">
      <c r="A731" s="17" t="n">
        <v>43700</v>
      </c>
      <c r="B731" s="19" t="n">
        <v>-0.00563595481998136</v>
      </c>
    </row>
    <row r="732" customFormat="false" ht="15" hidden="false" customHeight="false" outlineLevel="0" collapsed="false">
      <c r="A732" s="17" t="n">
        <v>43703</v>
      </c>
      <c r="B732" s="19" t="n">
        <v>0.00312109857414922</v>
      </c>
    </row>
    <row r="733" customFormat="false" ht="15" hidden="false" customHeight="false" outlineLevel="0" collapsed="false">
      <c r="A733" s="17" t="n">
        <v>43704</v>
      </c>
      <c r="B733" s="19" t="n">
        <v>0.0017642949674721</v>
      </c>
    </row>
    <row r="734" customFormat="false" ht="15" hidden="false" customHeight="false" outlineLevel="0" collapsed="false">
      <c r="A734" s="17" t="n">
        <v>43705</v>
      </c>
      <c r="B734" s="19" t="n">
        <v>0.00154373561122911</v>
      </c>
    </row>
    <row r="735" customFormat="false" ht="15" hidden="false" customHeight="false" outlineLevel="0" collapsed="false">
      <c r="A735" s="17" t="n">
        <v>43706</v>
      </c>
      <c r="B735" s="19" t="n">
        <v>0.00350141632231682</v>
      </c>
    </row>
    <row r="736" customFormat="false" ht="15" hidden="false" customHeight="false" outlineLevel="0" collapsed="false">
      <c r="A736" s="17" t="n">
        <v>43707</v>
      </c>
      <c r="B736" s="19" t="n">
        <v>-0.000147519265764284</v>
      </c>
    </row>
    <row r="737" customFormat="false" ht="15" hidden="false" customHeight="false" outlineLevel="0" collapsed="false">
      <c r="A737" s="17" t="n">
        <v>43711</v>
      </c>
      <c r="B737" s="19" t="n">
        <v>-0.000447509993253048</v>
      </c>
    </row>
    <row r="738" customFormat="false" ht="15" hidden="false" customHeight="false" outlineLevel="0" collapsed="false">
      <c r="A738" s="17" t="n">
        <v>43712</v>
      </c>
      <c r="B738" s="19" t="n">
        <v>0.00671620586980293</v>
      </c>
    </row>
    <row r="739" customFormat="false" ht="15" hidden="false" customHeight="false" outlineLevel="0" collapsed="false">
      <c r="A739" s="17" t="n">
        <v>43713</v>
      </c>
      <c r="B739" s="19" t="n">
        <v>-0.000116721063013525</v>
      </c>
    </row>
    <row r="740" customFormat="false" ht="15" hidden="false" customHeight="false" outlineLevel="0" collapsed="false">
      <c r="A740" s="17" t="n">
        <v>43714</v>
      </c>
      <c r="B740" s="19" t="n">
        <v>0.000404559794186188</v>
      </c>
    </row>
    <row r="741" customFormat="false" ht="15" hidden="false" customHeight="false" outlineLevel="0" collapsed="false">
      <c r="A741" s="17" t="n">
        <v>43717</v>
      </c>
      <c r="B741" s="19" t="n">
        <v>-0.00199043126198462</v>
      </c>
    </row>
    <row r="742" customFormat="false" ht="15" hidden="false" customHeight="false" outlineLevel="0" collapsed="false">
      <c r="A742" s="17" t="n">
        <v>43718</v>
      </c>
      <c r="B742" s="19" t="n">
        <v>-0.00272051163563569</v>
      </c>
    </row>
    <row r="743" customFormat="false" ht="15" hidden="false" customHeight="false" outlineLevel="0" collapsed="false">
      <c r="A743" s="17" t="n">
        <v>43719</v>
      </c>
      <c r="B743" s="19" t="n">
        <v>0.00277191850237291</v>
      </c>
    </row>
    <row r="744" customFormat="false" ht="15" hidden="false" customHeight="false" outlineLevel="0" collapsed="false">
      <c r="A744" s="17" t="n">
        <v>43720</v>
      </c>
      <c r="B744" s="19" t="n">
        <v>0.00126811847451758</v>
      </c>
    </row>
    <row r="745" customFormat="false" ht="15" hidden="false" customHeight="false" outlineLevel="0" collapsed="false">
      <c r="A745" s="17" t="n">
        <v>43721</v>
      </c>
      <c r="B745" s="19" t="n">
        <v>-0.00266438350315423</v>
      </c>
    </row>
    <row r="746" customFormat="false" ht="15" hidden="false" customHeight="false" outlineLevel="0" collapsed="false">
      <c r="A746" s="17" t="n">
        <v>43724</v>
      </c>
      <c r="B746" s="19" t="n">
        <v>0.000384521698184814</v>
      </c>
    </row>
    <row r="747" customFormat="false" ht="15" hidden="false" customHeight="false" outlineLevel="0" collapsed="false">
      <c r="A747" s="17" t="n">
        <v>43725</v>
      </c>
      <c r="B747" s="19" t="n">
        <v>0.00227115979721582</v>
      </c>
    </row>
    <row r="748" customFormat="false" ht="15" hidden="false" customHeight="false" outlineLevel="0" collapsed="false">
      <c r="A748" s="17" t="n">
        <v>43726</v>
      </c>
      <c r="B748" s="19" t="n">
        <v>-0.00134958929306595</v>
      </c>
    </row>
    <row r="749" customFormat="false" ht="15" hidden="false" customHeight="false" outlineLevel="0" collapsed="false">
      <c r="A749" s="17" t="n">
        <v>43727</v>
      </c>
      <c r="B749" s="19" t="n">
        <v>0.00137616995865875</v>
      </c>
    </row>
    <row r="750" customFormat="false" ht="15" hidden="false" customHeight="false" outlineLevel="0" collapsed="false">
      <c r="A750" s="17" t="n">
        <v>43728</v>
      </c>
      <c r="B750" s="19" t="n">
        <v>0.00104515553777151</v>
      </c>
    </row>
    <row r="751" customFormat="false" ht="15" hidden="false" customHeight="false" outlineLevel="0" collapsed="false">
      <c r="A751" s="17" t="n">
        <v>43731</v>
      </c>
      <c r="B751" s="19" t="n">
        <v>0.00137884006328193</v>
      </c>
    </row>
    <row r="752" customFormat="false" ht="15" hidden="false" customHeight="false" outlineLevel="0" collapsed="false">
      <c r="A752" s="17" t="n">
        <v>43732</v>
      </c>
      <c r="B752" s="19" t="n">
        <v>-0.00156632200591123</v>
      </c>
    </row>
    <row r="753" customFormat="false" ht="15" hidden="false" customHeight="false" outlineLevel="0" collapsed="false">
      <c r="A753" s="17" t="n">
        <v>43733</v>
      </c>
      <c r="B753" s="19" t="n">
        <v>-0.00210003891630106</v>
      </c>
    </row>
    <row r="754" customFormat="false" ht="15" hidden="false" customHeight="false" outlineLevel="0" collapsed="false">
      <c r="A754" s="17" t="n">
        <v>43734</v>
      </c>
      <c r="B754" s="19" t="n">
        <v>4.27668626079569E-005</v>
      </c>
    </row>
    <row r="755" customFormat="false" ht="15" hidden="false" customHeight="false" outlineLevel="0" collapsed="false">
      <c r="A755" s="17" t="n">
        <v>43735</v>
      </c>
      <c r="B755" s="19" t="n">
        <v>-0.00290606333305588</v>
      </c>
    </row>
    <row r="756" customFormat="false" ht="15" hidden="false" customHeight="false" outlineLevel="0" collapsed="false">
      <c r="A756" s="17" t="n">
        <v>43738</v>
      </c>
      <c r="B756" s="19" t="n">
        <v>0.000741128901168286</v>
      </c>
    </row>
    <row r="757" customFormat="false" ht="15" hidden="false" customHeight="false" outlineLevel="0" collapsed="false">
      <c r="A757" s="17" t="n">
        <v>43739</v>
      </c>
      <c r="B757" s="19" t="n">
        <v>-0.00412996528276322</v>
      </c>
    </row>
    <row r="758" customFormat="false" ht="15" hidden="false" customHeight="false" outlineLevel="0" collapsed="false">
      <c r="A758" s="17" t="n">
        <v>43740</v>
      </c>
      <c r="B758" s="19" t="n">
        <v>-0.00502207280923017</v>
      </c>
    </row>
    <row r="759" customFormat="false" ht="15" hidden="false" customHeight="false" outlineLevel="0" collapsed="false">
      <c r="A759" s="17" t="n">
        <v>43741</v>
      </c>
      <c r="B759" s="19" t="n">
        <v>0.00531370517409724</v>
      </c>
    </row>
    <row r="760" customFormat="false" ht="15" hidden="false" customHeight="false" outlineLevel="0" collapsed="false">
      <c r="A760" s="17" t="n">
        <v>43742</v>
      </c>
      <c r="B760" s="19" t="n">
        <v>0.00540700879349809</v>
      </c>
    </row>
    <row r="761" customFormat="false" ht="15" hidden="false" customHeight="false" outlineLevel="0" collapsed="false">
      <c r="A761" s="17" t="n">
        <v>43745</v>
      </c>
      <c r="B761" s="19" t="n">
        <v>-0.00375113689314821</v>
      </c>
    </row>
    <row r="762" customFormat="false" ht="15" hidden="false" customHeight="false" outlineLevel="0" collapsed="false">
      <c r="A762" s="17" t="n">
        <v>43746</v>
      </c>
      <c r="B762" s="19" t="n">
        <v>-0.00481688334671249</v>
      </c>
    </row>
    <row r="763" customFormat="false" ht="15" hidden="false" customHeight="false" outlineLevel="0" collapsed="false">
      <c r="A763" s="17" t="n">
        <v>43747</v>
      </c>
      <c r="B763" s="19" t="n">
        <v>0.00275825639269867</v>
      </c>
    </row>
    <row r="764" customFormat="false" ht="15" hidden="false" customHeight="false" outlineLevel="0" collapsed="false">
      <c r="A764" s="17" t="n">
        <v>43748</v>
      </c>
      <c r="B764" s="19" t="n">
        <v>0.000897941426795779</v>
      </c>
    </row>
    <row r="765" customFormat="false" ht="15" hidden="false" customHeight="false" outlineLevel="0" collapsed="false">
      <c r="A765" s="17" t="n">
        <v>43749</v>
      </c>
      <c r="B765" s="19" t="n">
        <v>0.00337422177567515</v>
      </c>
    </row>
    <row r="766" customFormat="false" ht="15" hidden="false" customHeight="false" outlineLevel="0" collapsed="false">
      <c r="A766" s="17" t="n">
        <v>43752</v>
      </c>
      <c r="B766" s="19" t="n">
        <v>-0.000394058540920117</v>
      </c>
    </row>
    <row r="767" customFormat="false" ht="15" hidden="false" customHeight="false" outlineLevel="0" collapsed="false">
      <c r="A767" s="17" t="n">
        <v>43753</v>
      </c>
      <c r="B767" s="19" t="n">
        <v>0.00196855606648061</v>
      </c>
    </row>
    <row r="768" customFormat="false" ht="15" hidden="false" customHeight="false" outlineLevel="0" collapsed="false">
      <c r="A768" s="17" t="n">
        <v>43754</v>
      </c>
      <c r="B768" s="19" t="n">
        <v>0.000735962874100826</v>
      </c>
    </row>
    <row r="769" customFormat="false" ht="15" hidden="false" customHeight="false" outlineLevel="0" collapsed="false">
      <c r="A769" s="17" t="n">
        <v>43755</v>
      </c>
      <c r="B769" s="19" t="n">
        <v>0.0023525590682445</v>
      </c>
    </row>
    <row r="770" customFormat="false" ht="15" hidden="false" customHeight="false" outlineLevel="0" collapsed="false">
      <c r="A770" s="17" t="n">
        <v>43756</v>
      </c>
      <c r="B770" s="19" t="n">
        <v>-0.000607336243572565</v>
      </c>
    </row>
    <row r="771" customFormat="false" ht="15" hidden="false" customHeight="false" outlineLevel="0" collapsed="false">
      <c r="A771" s="17" t="n">
        <v>43759</v>
      </c>
      <c r="B771" s="19" t="n">
        <v>0.00201598490535093</v>
      </c>
    </row>
    <row r="772" customFormat="false" ht="15" hidden="false" customHeight="false" outlineLevel="0" collapsed="false">
      <c r="A772" s="17" t="n">
        <v>43760</v>
      </c>
      <c r="B772" s="19" t="n">
        <v>8.03561003990261E-005</v>
      </c>
    </row>
    <row r="773" customFormat="false" ht="15" hidden="false" customHeight="false" outlineLevel="0" collapsed="false">
      <c r="A773" s="17" t="n">
        <v>43761</v>
      </c>
      <c r="B773" s="19" t="n">
        <v>0.00158799272385113</v>
      </c>
    </row>
    <row r="774" customFormat="false" ht="15" hidden="false" customHeight="false" outlineLevel="0" collapsed="false">
      <c r="A774" s="17" t="n">
        <v>43762</v>
      </c>
      <c r="B774" s="19" t="n">
        <v>0.0014440830765059</v>
      </c>
    </row>
    <row r="775" customFormat="false" ht="15" hidden="false" customHeight="false" outlineLevel="0" collapsed="false">
      <c r="A775" s="17" t="n">
        <v>43763</v>
      </c>
      <c r="B775" s="19" t="n">
        <v>0.00084694687546194</v>
      </c>
    </row>
    <row r="776" customFormat="false" ht="15" hidden="false" customHeight="false" outlineLevel="0" collapsed="false">
      <c r="A776" s="17" t="n">
        <v>43766</v>
      </c>
      <c r="B776" s="19" t="n">
        <v>-0.000333695339021611</v>
      </c>
    </row>
    <row r="777" customFormat="false" ht="15" hidden="false" customHeight="false" outlineLevel="0" collapsed="false">
      <c r="A777" s="17" t="n">
        <v>43767</v>
      </c>
      <c r="B777" s="19" t="n">
        <v>-0.00134712386730973</v>
      </c>
    </row>
    <row r="778" customFormat="false" ht="15" hidden="false" customHeight="false" outlineLevel="0" collapsed="false">
      <c r="A778" s="17" t="n">
        <v>43768</v>
      </c>
      <c r="B778" s="19" t="n">
        <v>0.00363577515633828</v>
      </c>
    </row>
    <row r="779" customFormat="false" ht="15" hidden="false" customHeight="false" outlineLevel="0" collapsed="false">
      <c r="A779" s="17" t="n">
        <v>43769</v>
      </c>
      <c r="B779" s="19" t="n">
        <v>3.91770626995136E-005</v>
      </c>
    </row>
    <row r="780" customFormat="false" ht="15" hidden="false" customHeight="false" outlineLevel="0" collapsed="false">
      <c r="A780" s="17" t="n">
        <v>43770</v>
      </c>
      <c r="B780" s="19" t="n">
        <v>0.00485423095126136</v>
      </c>
    </row>
    <row r="781" customFormat="false" ht="15" hidden="false" customHeight="false" outlineLevel="0" collapsed="false">
      <c r="A781" s="17" t="n">
        <v>43773</v>
      </c>
      <c r="B781" s="19" t="n">
        <v>-0.00020846125621099</v>
      </c>
    </row>
    <row r="782" customFormat="false" ht="15" hidden="false" customHeight="false" outlineLevel="0" collapsed="false">
      <c r="A782" s="17" t="n">
        <v>43774</v>
      </c>
      <c r="B782" s="19" t="n">
        <v>-0.00274940851389793</v>
      </c>
    </row>
    <row r="783" customFormat="false" ht="15" hidden="false" customHeight="false" outlineLevel="0" collapsed="false">
      <c r="A783" s="17" t="n">
        <v>43775</v>
      </c>
      <c r="B783" s="19" t="n">
        <v>0.00143297116175467</v>
      </c>
    </row>
    <row r="784" customFormat="false" ht="15" hidden="false" customHeight="false" outlineLevel="0" collapsed="false">
      <c r="A784" s="17" t="n">
        <v>43776</v>
      </c>
      <c r="B784" s="19" t="n">
        <v>-0.00173911017410999</v>
      </c>
    </row>
    <row r="785" customFormat="false" ht="15" hidden="false" customHeight="false" outlineLevel="0" collapsed="false">
      <c r="A785" s="17" t="n">
        <v>43777</v>
      </c>
      <c r="B785" s="19" t="n">
        <v>-0.000917053119043332</v>
      </c>
    </row>
    <row r="786" customFormat="false" ht="15" hidden="false" customHeight="false" outlineLevel="0" collapsed="false">
      <c r="A786" s="17" t="n">
        <v>43780</v>
      </c>
      <c r="B786" s="19" t="n">
        <v>-0.000632279756076604</v>
      </c>
    </row>
    <row r="787" customFormat="false" ht="15" hidden="false" customHeight="false" outlineLevel="0" collapsed="false">
      <c r="A787" s="17" t="n">
        <v>43781</v>
      </c>
      <c r="B787" s="19" t="n">
        <v>0.000257668320342575</v>
      </c>
    </row>
    <row r="788" customFormat="false" ht="15" hidden="false" customHeight="false" outlineLevel="0" collapsed="false">
      <c r="A788" s="17" t="n">
        <v>43782</v>
      </c>
      <c r="B788" s="19" t="n">
        <v>0.000904039183369232</v>
      </c>
    </row>
    <row r="789" customFormat="false" ht="15" hidden="false" customHeight="false" outlineLevel="0" collapsed="false">
      <c r="A789" s="17" t="n">
        <v>43783</v>
      </c>
      <c r="B789" s="19" t="n">
        <v>0.00141922553063778</v>
      </c>
    </row>
    <row r="790" customFormat="false" ht="15" hidden="false" customHeight="false" outlineLevel="0" collapsed="false">
      <c r="A790" s="17" t="n">
        <v>43784</v>
      </c>
      <c r="B790" s="19" t="n">
        <v>0.00291656028514686</v>
      </c>
    </row>
    <row r="791" customFormat="false" ht="15" hidden="false" customHeight="false" outlineLevel="0" collapsed="false">
      <c r="A791" s="17" t="n">
        <v>43787</v>
      </c>
      <c r="B791" s="19" t="n">
        <v>0.0012174911566436</v>
      </c>
    </row>
    <row r="792" customFormat="false" ht="15" hidden="false" customHeight="false" outlineLevel="0" collapsed="false">
      <c r="A792" s="17" t="n">
        <v>43788</v>
      </c>
      <c r="B792" s="19" t="n">
        <v>0.000759655591446418</v>
      </c>
    </row>
    <row r="793" customFormat="false" ht="15" hidden="false" customHeight="false" outlineLevel="0" collapsed="false">
      <c r="A793" s="17" t="n">
        <v>43789</v>
      </c>
      <c r="B793" s="19" t="n">
        <v>-0.000267499416466643</v>
      </c>
    </row>
    <row r="794" customFormat="false" ht="15" hidden="false" customHeight="false" outlineLevel="0" collapsed="false">
      <c r="A794" s="17" t="n">
        <v>43790</v>
      </c>
      <c r="B794" s="19" t="n">
        <v>-0.00233707609016198</v>
      </c>
    </row>
    <row r="795" customFormat="false" ht="15" hidden="false" customHeight="false" outlineLevel="0" collapsed="false">
      <c r="A795" s="17" t="n">
        <v>43791</v>
      </c>
      <c r="B795" s="19" t="n">
        <v>0.000498948664335197</v>
      </c>
    </row>
    <row r="796" customFormat="false" ht="15" hidden="false" customHeight="false" outlineLevel="0" collapsed="false">
      <c r="A796" s="17" t="n">
        <v>43794</v>
      </c>
      <c r="B796" s="19" t="n">
        <v>0.00346913522351011</v>
      </c>
    </row>
    <row r="797" customFormat="false" ht="15" hidden="false" customHeight="false" outlineLevel="0" collapsed="false">
      <c r="A797" s="17" t="n">
        <v>43795</v>
      </c>
      <c r="B797" s="19" t="n">
        <v>0.00153898071654512</v>
      </c>
    </row>
    <row r="798" customFormat="false" ht="15" hidden="false" customHeight="false" outlineLevel="0" collapsed="false">
      <c r="A798" s="17" t="n">
        <v>43796</v>
      </c>
      <c r="B798" s="19" t="n">
        <v>0.000453455112873424</v>
      </c>
    </row>
    <row r="799" customFormat="false" ht="15" hidden="false" customHeight="false" outlineLevel="0" collapsed="false">
      <c r="A799" s="17" t="n">
        <v>43798</v>
      </c>
      <c r="B799" s="19" t="n">
        <v>-0.00305570653846554</v>
      </c>
    </row>
    <row r="800" customFormat="false" ht="15" hidden="false" customHeight="false" outlineLevel="0" collapsed="false">
      <c r="A800" s="17" t="n">
        <v>43801</v>
      </c>
      <c r="B800" s="19" t="n">
        <v>-0.00365627751724285</v>
      </c>
    </row>
    <row r="801" customFormat="false" ht="15" hidden="false" customHeight="false" outlineLevel="0" collapsed="false">
      <c r="A801" s="17" t="n">
        <v>43802</v>
      </c>
      <c r="B801" s="19" t="n">
        <v>0.000755802310249409</v>
      </c>
    </row>
    <row r="802" customFormat="false" ht="15" hidden="false" customHeight="false" outlineLevel="0" collapsed="false">
      <c r="A802" s="17" t="n">
        <v>43803</v>
      </c>
      <c r="B802" s="19" t="n">
        <v>0.0028594552844512</v>
      </c>
    </row>
    <row r="803" customFormat="false" ht="15" hidden="false" customHeight="false" outlineLevel="0" collapsed="false">
      <c r="A803" s="17" t="n">
        <v>43804</v>
      </c>
      <c r="B803" s="19" t="n">
        <v>0.000368105181149492</v>
      </c>
    </row>
    <row r="804" customFormat="false" ht="15" hidden="false" customHeight="false" outlineLevel="0" collapsed="false">
      <c r="A804" s="17" t="n">
        <v>43805</v>
      </c>
      <c r="B804" s="19" t="n">
        <v>0.00213045749130991</v>
      </c>
    </row>
    <row r="805" customFormat="false" ht="15" hidden="false" customHeight="false" outlineLevel="0" collapsed="false">
      <c r="A805" s="17" t="n">
        <v>43808</v>
      </c>
      <c r="B805" s="19" t="n">
        <v>-0.000586995478297658</v>
      </c>
    </row>
    <row r="806" customFormat="false" ht="15" hidden="false" customHeight="false" outlineLevel="0" collapsed="false">
      <c r="A806" s="17" t="n">
        <v>43809</v>
      </c>
      <c r="B806" s="19" t="n">
        <v>-0.000553180628234729</v>
      </c>
    </row>
    <row r="807" customFormat="false" ht="15" hidden="false" customHeight="false" outlineLevel="0" collapsed="false">
      <c r="A807" s="17" t="n">
        <v>43810</v>
      </c>
      <c r="B807" s="19" t="n">
        <v>0.0039427158179457</v>
      </c>
    </row>
    <row r="808" customFormat="false" ht="15" hidden="false" customHeight="false" outlineLevel="0" collapsed="false">
      <c r="A808" s="17" t="n">
        <v>43811</v>
      </c>
      <c r="B808" s="19" t="n">
        <v>0.000626671434166282</v>
      </c>
    </row>
    <row r="809" customFormat="false" ht="15" hidden="false" customHeight="false" outlineLevel="0" collapsed="false">
      <c r="A809" s="17" t="n">
        <v>43812</v>
      </c>
      <c r="B809" s="19" t="n">
        <v>0.00226265756018562</v>
      </c>
    </row>
    <row r="810" customFormat="false" ht="15" hidden="false" customHeight="false" outlineLevel="0" collapsed="false">
      <c r="A810" s="17" t="n">
        <v>43815</v>
      </c>
      <c r="B810" s="19" t="n">
        <v>0.00238267137850667</v>
      </c>
    </row>
    <row r="811" customFormat="false" ht="15" hidden="false" customHeight="false" outlineLevel="0" collapsed="false">
      <c r="A811" s="17" t="n">
        <v>43816</v>
      </c>
      <c r="B811" s="19" t="n">
        <v>5.69805196195539E-005</v>
      </c>
    </row>
    <row r="812" customFormat="false" ht="15" hidden="false" customHeight="false" outlineLevel="0" collapsed="false">
      <c r="A812" s="17" t="n">
        <v>43817</v>
      </c>
      <c r="B812" s="19" t="n">
        <v>0.000214237774747161</v>
      </c>
    </row>
    <row r="813" customFormat="false" ht="15" hidden="false" customHeight="false" outlineLevel="0" collapsed="false">
      <c r="A813" s="17" t="n">
        <v>43818</v>
      </c>
      <c r="B813" s="19" t="n">
        <v>0.00236154906257768</v>
      </c>
    </row>
    <row r="814" customFormat="false" ht="15" hidden="false" customHeight="false" outlineLevel="0" collapsed="false">
      <c r="A814" s="17" t="n">
        <v>43819</v>
      </c>
      <c r="B814" s="19" t="n">
        <v>0.00161681382049239</v>
      </c>
    </row>
    <row r="815" customFormat="false" ht="15" hidden="false" customHeight="false" outlineLevel="0" collapsed="false">
      <c r="A815" s="17" t="n">
        <v>43822</v>
      </c>
      <c r="B815" s="19" t="n">
        <v>0.000643305931872895</v>
      </c>
    </row>
    <row r="816" customFormat="false" ht="15" hidden="false" customHeight="false" outlineLevel="0" collapsed="false">
      <c r="A816" s="17" t="n">
        <v>43823</v>
      </c>
      <c r="B816" s="19" t="n">
        <v>0.00156613351722346</v>
      </c>
    </row>
    <row r="817" customFormat="false" ht="15" hidden="false" customHeight="false" outlineLevel="0" collapsed="false">
      <c r="A817" s="17" t="n">
        <v>43825</v>
      </c>
      <c r="B817" s="19" t="n">
        <v>0.00293743165525684</v>
      </c>
    </row>
    <row r="818" customFormat="false" ht="15" hidden="false" customHeight="false" outlineLevel="0" collapsed="false">
      <c r="A818" s="17" t="n">
        <v>43826</v>
      </c>
      <c r="B818" s="19" t="n">
        <v>0.000458925210238492</v>
      </c>
    </row>
    <row r="819" customFormat="false" ht="15" hidden="false" customHeight="false" outlineLevel="0" collapsed="false">
      <c r="A819" s="17" t="n">
        <v>43829</v>
      </c>
      <c r="B819" s="19" t="n">
        <v>-0.00255720775143598</v>
      </c>
    </row>
    <row r="820" customFormat="false" ht="15" hidden="false" customHeight="false" outlineLevel="0" collapsed="false">
      <c r="A820" s="17" t="n">
        <v>43830</v>
      </c>
      <c r="B820" s="19" t="n">
        <v>0.00141186566479412</v>
      </c>
    </row>
    <row r="821" customFormat="false" ht="15" hidden="false" customHeight="false" outlineLevel="0" collapsed="false">
      <c r="A821" s="17" t="n">
        <v>43832</v>
      </c>
      <c r="B821" s="19" t="n">
        <v>0.00571429394390255</v>
      </c>
    </row>
    <row r="822" customFormat="false" ht="15" hidden="false" customHeight="false" outlineLevel="0" collapsed="false">
      <c r="A822" s="17" t="n">
        <v>43833</v>
      </c>
      <c r="B822" s="19" t="n">
        <v>-0.00190744003284804</v>
      </c>
    </row>
    <row r="823" customFormat="false" ht="15" hidden="false" customHeight="false" outlineLevel="0" collapsed="false">
      <c r="A823" s="17" t="n">
        <v>43836</v>
      </c>
      <c r="B823" s="19" t="n">
        <v>0.000881789216222062</v>
      </c>
    </row>
    <row r="824" customFormat="false" ht="15" hidden="false" customHeight="false" outlineLevel="0" collapsed="false">
      <c r="A824" s="17" t="n">
        <v>43837</v>
      </c>
      <c r="B824" s="19" t="n">
        <v>-0.00156302682612053</v>
      </c>
    </row>
    <row r="825" customFormat="false" ht="15" hidden="false" customHeight="false" outlineLevel="0" collapsed="false">
      <c r="A825" s="17" t="n">
        <v>43838</v>
      </c>
      <c r="B825" s="19" t="n">
        <v>0.000664449739119943</v>
      </c>
    </row>
    <row r="826" customFormat="false" ht="15" hidden="false" customHeight="false" outlineLevel="0" collapsed="false">
      <c r="A826" s="17" t="n">
        <v>43839</v>
      </c>
      <c r="B826" s="19" t="n">
        <v>0.00266019496937187</v>
      </c>
    </row>
    <row r="827" customFormat="false" ht="15" hidden="false" customHeight="false" outlineLevel="0" collapsed="false">
      <c r="A827" s="17" t="n">
        <v>43840</v>
      </c>
      <c r="B827" s="19" t="n">
        <v>0.000705573026832163</v>
      </c>
    </row>
    <row r="828" customFormat="false" ht="15" hidden="false" customHeight="false" outlineLevel="0" collapsed="false">
      <c r="A828" s="17" t="n">
        <v>43843</v>
      </c>
      <c r="B828" s="19" t="n">
        <v>0.003278822924067</v>
      </c>
    </row>
    <row r="829" customFormat="false" ht="15" hidden="false" customHeight="false" outlineLevel="0" collapsed="false">
      <c r="A829" s="17" t="n">
        <v>43844</v>
      </c>
      <c r="B829" s="19" t="n">
        <v>-0.000196466199246181</v>
      </c>
    </row>
    <row r="830" customFormat="false" ht="15" hidden="false" customHeight="false" outlineLevel="0" collapsed="false">
      <c r="A830" s="17" t="n">
        <v>43845</v>
      </c>
      <c r="B830" s="19" t="n">
        <v>0.00174517999339674</v>
      </c>
    </row>
    <row r="831" customFormat="false" ht="15" hidden="false" customHeight="false" outlineLevel="0" collapsed="false">
      <c r="A831" s="17" t="n">
        <v>43846</v>
      </c>
      <c r="B831" s="19" t="n">
        <v>0.00283268658697633</v>
      </c>
    </row>
    <row r="832" customFormat="false" ht="15" hidden="false" customHeight="false" outlineLevel="0" collapsed="false">
      <c r="A832" s="17" t="n">
        <v>43847</v>
      </c>
      <c r="B832" s="19" t="n">
        <v>0.00161336698608805</v>
      </c>
    </row>
    <row r="833" customFormat="false" ht="15" hidden="false" customHeight="false" outlineLevel="0" collapsed="false">
      <c r="A833" s="17" t="n">
        <v>43851</v>
      </c>
      <c r="B833" s="19" t="n">
        <v>-0.00147252337065329</v>
      </c>
    </row>
    <row r="834" customFormat="false" ht="15" hidden="false" customHeight="false" outlineLevel="0" collapsed="false">
      <c r="A834" s="17" t="n">
        <v>43852</v>
      </c>
      <c r="B834" s="19" t="n">
        <v>0.000483230504702892</v>
      </c>
    </row>
    <row r="835" customFormat="false" ht="15" hidden="false" customHeight="false" outlineLevel="0" collapsed="false">
      <c r="A835" s="17" t="n">
        <v>43853</v>
      </c>
      <c r="B835" s="19" t="n">
        <v>0.000158378047438124</v>
      </c>
    </row>
    <row r="836" customFormat="false" ht="15" hidden="false" customHeight="false" outlineLevel="0" collapsed="false">
      <c r="A836" s="17" t="n">
        <v>43854</v>
      </c>
      <c r="B836" s="19" t="n">
        <v>-0.0022881696626248</v>
      </c>
    </row>
    <row r="837" customFormat="false" ht="15" hidden="false" customHeight="false" outlineLevel="0" collapsed="false">
      <c r="A837" s="17" t="n">
        <v>43857</v>
      </c>
      <c r="B837" s="19" t="n">
        <v>-0.00668439541658228</v>
      </c>
    </row>
    <row r="838" customFormat="false" ht="15" hidden="false" customHeight="false" outlineLevel="0" collapsed="false">
      <c r="A838" s="17" t="n">
        <v>43858</v>
      </c>
      <c r="B838" s="19" t="n">
        <v>0.00223858440389213</v>
      </c>
    </row>
    <row r="839" customFormat="false" ht="15" hidden="false" customHeight="false" outlineLevel="0" collapsed="false">
      <c r="A839" s="17" t="n">
        <v>43859</v>
      </c>
      <c r="B839" s="19" t="n">
        <v>0.00144122221658782</v>
      </c>
    </row>
    <row r="840" customFormat="false" ht="15" hidden="false" customHeight="false" outlineLevel="0" collapsed="false">
      <c r="A840" s="17" t="n">
        <v>43860</v>
      </c>
      <c r="B840" s="19" t="n">
        <v>0.000243730651463991</v>
      </c>
    </row>
    <row r="841" customFormat="false" ht="15" hidden="false" customHeight="false" outlineLevel="0" collapsed="false">
      <c r="A841" s="17" t="n">
        <v>43861</v>
      </c>
      <c r="B841" s="19" t="n">
        <v>-0.00596757062982856</v>
      </c>
    </row>
    <row r="842" customFormat="false" ht="15" hidden="false" customHeight="false" outlineLevel="0" collapsed="false">
      <c r="A842" s="17" t="n">
        <v>43864</v>
      </c>
      <c r="B842" s="19" t="n">
        <v>0.00145734366885542</v>
      </c>
    </row>
    <row r="843" customFormat="false" ht="15" hidden="false" customHeight="false" outlineLevel="0" collapsed="false">
      <c r="A843" s="17" t="n">
        <v>43865</v>
      </c>
      <c r="B843" s="19" t="n">
        <v>0.00456177060397556</v>
      </c>
    </row>
    <row r="844" customFormat="false" ht="15" hidden="false" customHeight="false" outlineLevel="0" collapsed="false">
      <c r="A844" s="17" t="n">
        <v>43866</v>
      </c>
      <c r="B844" s="19" t="n">
        <v>0.00303864988727209</v>
      </c>
    </row>
    <row r="845" customFormat="false" ht="15" hidden="false" customHeight="false" outlineLevel="0" collapsed="false">
      <c r="A845" s="17" t="n">
        <v>43867</v>
      </c>
      <c r="B845" s="19" t="n">
        <v>0.00177125025517455</v>
      </c>
    </row>
    <row r="846" customFormat="false" ht="15" hidden="false" customHeight="false" outlineLevel="0" collapsed="false">
      <c r="A846" s="17" t="n">
        <v>43868</v>
      </c>
      <c r="B846" s="19" t="n">
        <v>-0.00225109762796072</v>
      </c>
    </row>
    <row r="847" customFormat="false" ht="15" hidden="false" customHeight="false" outlineLevel="0" collapsed="false">
      <c r="A847" s="17" t="n">
        <v>43871</v>
      </c>
      <c r="B847" s="19" t="n">
        <v>0.00374388898233069</v>
      </c>
    </row>
    <row r="848" customFormat="false" ht="15" hidden="false" customHeight="false" outlineLevel="0" collapsed="false">
      <c r="A848" s="17" t="n">
        <v>43872</v>
      </c>
      <c r="B848" s="19" t="n">
        <v>0.000982244833375834</v>
      </c>
    </row>
    <row r="849" customFormat="false" ht="15" hidden="false" customHeight="false" outlineLevel="0" collapsed="false">
      <c r="A849" s="17" t="n">
        <v>43873</v>
      </c>
      <c r="B849" s="19" t="n">
        <v>0.00247510055724831</v>
      </c>
    </row>
    <row r="850" customFormat="false" ht="15" hidden="false" customHeight="false" outlineLevel="0" collapsed="false">
      <c r="A850" s="17" t="n">
        <v>43874</v>
      </c>
      <c r="B850" s="19" t="n">
        <v>-0.000403370118687407</v>
      </c>
    </row>
    <row r="851" customFormat="false" ht="15" hidden="false" customHeight="false" outlineLevel="0" collapsed="false">
      <c r="A851" s="17" t="n">
        <v>43875</v>
      </c>
      <c r="B851" s="19" t="n">
        <v>0.00124865686438747</v>
      </c>
    </row>
    <row r="852" customFormat="false" ht="15" hidden="false" customHeight="false" outlineLevel="0" collapsed="false">
      <c r="A852" s="17" t="n">
        <v>43879</v>
      </c>
      <c r="B852" s="19" t="n">
        <v>0.000501221411871589</v>
      </c>
    </row>
    <row r="853" customFormat="false" ht="15" hidden="false" customHeight="false" outlineLevel="0" collapsed="false">
      <c r="A853" s="17" t="n">
        <v>43880</v>
      </c>
      <c r="B853" s="19" t="n">
        <v>0.00219031613262688</v>
      </c>
    </row>
    <row r="854" customFormat="false" ht="15" hidden="false" customHeight="false" outlineLevel="0" collapsed="false">
      <c r="A854" s="17" t="n">
        <v>43881</v>
      </c>
      <c r="B854" s="19" t="n">
        <v>-0.000451716127509494</v>
      </c>
    </row>
    <row r="855" customFormat="false" ht="15" hidden="false" customHeight="false" outlineLevel="0" collapsed="false">
      <c r="A855" s="17" t="n">
        <v>43882</v>
      </c>
      <c r="B855" s="19" t="n">
        <v>-0.00107399067232061</v>
      </c>
    </row>
    <row r="856" customFormat="false" ht="15" hidden="false" customHeight="false" outlineLevel="0" collapsed="false">
      <c r="A856" s="17" t="n">
        <v>43885</v>
      </c>
      <c r="B856" s="19" t="n">
        <v>-0.0135753143869036</v>
      </c>
    </row>
    <row r="857" customFormat="false" ht="15" hidden="false" customHeight="false" outlineLevel="0" collapsed="false">
      <c r="A857" s="17" t="n">
        <v>43886</v>
      </c>
      <c r="B857" s="19" t="n">
        <v>-0.0123547664624663</v>
      </c>
    </row>
    <row r="858" customFormat="false" ht="15" hidden="false" customHeight="false" outlineLevel="0" collapsed="false">
      <c r="A858" s="17" t="n">
        <v>43887</v>
      </c>
      <c r="B858" s="19" t="n">
        <v>-0.00108564900651476</v>
      </c>
    </row>
    <row r="859" customFormat="false" ht="15" hidden="false" customHeight="false" outlineLevel="0" collapsed="false">
      <c r="A859" s="17" t="n">
        <v>43888</v>
      </c>
      <c r="B859" s="19" t="n">
        <v>-0.0168808408772722</v>
      </c>
    </row>
    <row r="860" customFormat="false" ht="15" hidden="false" customHeight="false" outlineLevel="0" collapsed="false">
      <c r="A860" s="17" t="n">
        <v>43889</v>
      </c>
      <c r="B860" s="19" t="n">
        <v>-0.0042938682504704</v>
      </c>
    </row>
    <row r="861" customFormat="false" ht="15" hidden="false" customHeight="false" outlineLevel="0" collapsed="false">
      <c r="A861" s="17" t="n">
        <v>43892</v>
      </c>
      <c r="B861" s="19" t="n">
        <v>0.0140235105441229</v>
      </c>
    </row>
    <row r="862" customFormat="false" ht="15" hidden="false" customHeight="false" outlineLevel="0" collapsed="false">
      <c r="A862" s="17" t="n">
        <v>43893</v>
      </c>
      <c r="B862" s="19" t="n">
        <v>-0.00192930073816067</v>
      </c>
    </row>
    <row r="863" customFormat="false" ht="15" hidden="false" customHeight="false" outlineLevel="0" collapsed="false">
      <c r="A863" s="17" t="n">
        <v>43894</v>
      </c>
      <c r="B863" s="19" t="n">
        <v>0.0136748961394797</v>
      </c>
    </row>
    <row r="864" customFormat="false" ht="15" hidden="false" customHeight="false" outlineLevel="0" collapsed="false">
      <c r="A864" s="17" t="n">
        <v>43895</v>
      </c>
      <c r="B864" s="19" t="n">
        <v>-0.00994533635895212</v>
      </c>
    </row>
    <row r="865" customFormat="false" ht="15" hidden="false" customHeight="false" outlineLevel="0" collapsed="false">
      <c r="A865" s="17" t="n">
        <v>43896</v>
      </c>
      <c r="B865" s="19" t="n">
        <v>-0.00529193019422136</v>
      </c>
    </row>
    <row r="866" customFormat="false" ht="15" hidden="false" customHeight="false" outlineLevel="0" collapsed="false">
      <c r="A866" s="17" t="n">
        <v>43899</v>
      </c>
      <c r="B866" s="19" t="n">
        <v>-0.0412659448367591</v>
      </c>
    </row>
    <row r="867" customFormat="false" ht="15" hidden="false" customHeight="false" outlineLevel="0" collapsed="false">
      <c r="A867" s="17" t="n">
        <v>43900</v>
      </c>
      <c r="B867" s="19" t="n">
        <v>0.0132853544801732</v>
      </c>
    </row>
    <row r="868" customFormat="false" ht="15" hidden="false" customHeight="false" outlineLevel="0" collapsed="false">
      <c r="A868" s="17" t="n">
        <v>43901</v>
      </c>
      <c r="B868" s="19" t="n">
        <v>-0.030332113257225</v>
      </c>
    </row>
    <row r="869" customFormat="false" ht="15" hidden="false" customHeight="false" outlineLevel="0" collapsed="false">
      <c r="A869" s="17" t="n">
        <v>43902</v>
      </c>
      <c r="B869" s="19" t="n">
        <v>-0.062986340718635</v>
      </c>
    </row>
    <row r="870" customFormat="false" ht="15" hidden="false" customHeight="false" outlineLevel="0" collapsed="false">
      <c r="A870" s="17" t="n">
        <v>43903</v>
      </c>
      <c r="B870" s="19" t="n">
        <v>0.0417227247253245</v>
      </c>
    </row>
    <row r="871" customFormat="false" ht="15" hidden="false" customHeight="false" outlineLevel="0" collapsed="false">
      <c r="A871" s="17" t="n">
        <v>43906</v>
      </c>
      <c r="B871" s="19" t="n">
        <v>-0.0466749301261986</v>
      </c>
    </row>
    <row r="872" customFormat="false" ht="15" hidden="false" customHeight="false" outlineLevel="0" collapsed="false">
      <c r="A872" s="17" t="n">
        <v>43907</v>
      </c>
      <c r="B872" s="19" t="n">
        <v>0.0127182753550363</v>
      </c>
    </row>
    <row r="873" customFormat="false" ht="15" hidden="false" customHeight="false" outlineLevel="0" collapsed="false">
      <c r="A873" s="17" t="n">
        <v>43908</v>
      </c>
      <c r="B873" s="19" t="n">
        <v>-0.0365811144743199</v>
      </c>
    </row>
    <row r="874" customFormat="false" ht="15" hidden="false" customHeight="false" outlineLevel="0" collapsed="false">
      <c r="A874" s="17" t="n">
        <v>43909</v>
      </c>
      <c r="B874" s="19" t="n">
        <v>0.00516114843385496</v>
      </c>
    </row>
    <row r="875" customFormat="false" ht="15" hidden="false" customHeight="false" outlineLevel="0" collapsed="false">
      <c r="A875" s="17" t="n">
        <v>43910</v>
      </c>
      <c r="B875" s="19" t="n">
        <v>0.00059759089632716</v>
      </c>
    </row>
    <row r="876" customFormat="false" ht="15" hidden="false" customHeight="false" outlineLevel="0" collapsed="false">
      <c r="A876" s="17" t="n">
        <v>43913</v>
      </c>
      <c r="B876" s="19" t="n">
        <v>0.00184351456147969</v>
      </c>
    </row>
    <row r="877" customFormat="false" ht="15" hidden="false" customHeight="false" outlineLevel="0" collapsed="false">
      <c r="A877" s="17" t="n">
        <v>43914</v>
      </c>
      <c r="B877" s="19" t="n">
        <v>0.0386090014518752</v>
      </c>
    </row>
    <row r="878" customFormat="false" ht="15" hidden="false" customHeight="false" outlineLevel="0" collapsed="false">
      <c r="A878" s="17" t="n">
        <v>43915</v>
      </c>
      <c r="B878" s="19" t="n">
        <v>0.0130947738515306</v>
      </c>
    </row>
    <row r="879" customFormat="false" ht="15" hidden="false" customHeight="false" outlineLevel="0" collapsed="false">
      <c r="A879" s="17" t="n">
        <v>43916</v>
      </c>
      <c r="B879" s="19" t="n">
        <v>0.0250675576432804</v>
      </c>
    </row>
    <row r="880" customFormat="false" ht="15" hidden="false" customHeight="false" outlineLevel="0" collapsed="false">
      <c r="A880" s="17" t="n">
        <v>43917</v>
      </c>
      <c r="B880" s="19" t="n">
        <v>-0.0128860510021566</v>
      </c>
    </row>
    <row r="881" customFormat="false" ht="15" hidden="false" customHeight="false" outlineLevel="0" collapsed="false">
      <c r="A881" s="17" t="n">
        <v>43920</v>
      </c>
      <c r="B881" s="19" t="n">
        <v>0.0091897957775704</v>
      </c>
    </row>
    <row r="882" customFormat="false" ht="15" hidden="false" customHeight="false" outlineLevel="0" collapsed="false">
      <c r="A882" s="17" t="n">
        <v>43921</v>
      </c>
      <c r="B882" s="19" t="n">
        <v>-0.0090452485266308</v>
      </c>
    </row>
    <row r="883" customFormat="false" ht="15" hidden="false" customHeight="false" outlineLevel="0" collapsed="false">
      <c r="A883" s="17" t="n">
        <v>43922</v>
      </c>
      <c r="B883" s="19" t="n">
        <v>-0.0184361608621495</v>
      </c>
    </row>
    <row r="884" customFormat="false" ht="15" hidden="false" customHeight="false" outlineLevel="0" collapsed="false">
      <c r="A884" s="17" t="n">
        <v>43923</v>
      </c>
      <c r="B884" s="19" t="n">
        <v>0.0147621784429173</v>
      </c>
    </row>
    <row r="885" customFormat="false" ht="15" hidden="false" customHeight="false" outlineLevel="0" collapsed="false">
      <c r="A885" s="17" t="n">
        <v>43924</v>
      </c>
      <c r="B885" s="19" t="n">
        <v>-0.00636271011126177</v>
      </c>
    </row>
    <row r="886" customFormat="false" ht="15" hidden="false" customHeight="false" outlineLevel="0" collapsed="false">
      <c r="A886" s="17" t="n">
        <v>43927</v>
      </c>
      <c r="B886" s="19" t="n">
        <v>0.0296519672632685</v>
      </c>
    </row>
    <row r="887" customFormat="false" ht="15" hidden="false" customHeight="false" outlineLevel="0" collapsed="false">
      <c r="A887" s="17" t="n">
        <v>43928</v>
      </c>
      <c r="B887" s="19" t="n">
        <v>0.00199904815676777</v>
      </c>
    </row>
    <row r="888" customFormat="false" ht="15" hidden="false" customHeight="false" outlineLevel="0" collapsed="false">
      <c r="A888" s="17" t="n">
        <v>43929</v>
      </c>
      <c r="B888" s="19" t="n">
        <v>0.0121789593058621</v>
      </c>
    </row>
    <row r="889" customFormat="false" ht="15" hidden="false" customHeight="false" outlineLevel="0" collapsed="false">
      <c r="A889" s="17" t="n">
        <v>43930</v>
      </c>
      <c r="B889" s="19" t="n">
        <v>0.0134290949905467</v>
      </c>
    </row>
    <row r="890" customFormat="false" ht="15" hidden="false" customHeight="false" outlineLevel="0" collapsed="false">
      <c r="A890" s="17" t="n">
        <v>43934</v>
      </c>
      <c r="B890" s="19" t="n">
        <v>-0.00391081657206438</v>
      </c>
    </row>
    <row r="891" customFormat="false" ht="15" hidden="false" customHeight="false" outlineLevel="0" collapsed="false">
      <c r="A891" s="17" t="n">
        <v>43935</v>
      </c>
      <c r="B891" s="19" t="n">
        <v>0.0129135901471613</v>
      </c>
    </row>
    <row r="892" customFormat="false" ht="15" hidden="false" customHeight="false" outlineLevel="0" collapsed="false">
      <c r="A892" s="17" t="n">
        <v>43936</v>
      </c>
      <c r="B892" s="19" t="n">
        <v>-0.0117611877049646</v>
      </c>
    </row>
    <row r="893" customFormat="false" ht="15" hidden="false" customHeight="false" outlineLevel="0" collapsed="false">
      <c r="A893" s="17" t="n">
        <v>43937</v>
      </c>
      <c r="B893" s="19" t="n">
        <v>-0.000137744744226787</v>
      </c>
    </row>
    <row r="894" customFormat="false" ht="15" hidden="false" customHeight="false" outlineLevel="0" collapsed="false">
      <c r="A894" s="17" t="n">
        <v>43938</v>
      </c>
      <c r="B894" s="19" t="n">
        <v>0.00944635207845357</v>
      </c>
    </row>
    <row r="895" customFormat="false" ht="15" hidden="false" customHeight="false" outlineLevel="0" collapsed="false">
      <c r="A895" s="17" t="n">
        <v>43941</v>
      </c>
      <c r="B895" s="19" t="n">
        <v>-0.0078440915462028</v>
      </c>
    </row>
    <row r="896" customFormat="false" ht="15" hidden="false" customHeight="false" outlineLevel="0" collapsed="false">
      <c r="A896" s="17" t="n">
        <v>43942</v>
      </c>
      <c r="B896" s="19" t="n">
        <v>-0.013215253292143</v>
      </c>
    </row>
    <row r="897" customFormat="false" ht="15" hidden="false" customHeight="false" outlineLevel="0" collapsed="false">
      <c r="A897" s="17" t="n">
        <v>43943</v>
      </c>
      <c r="B897" s="19" t="n">
        <v>0.0127760128186316</v>
      </c>
    </row>
    <row r="898" customFormat="false" ht="15" hidden="false" customHeight="false" outlineLevel="0" collapsed="false">
      <c r="A898" s="17" t="n">
        <v>43944</v>
      </c>
      <c r="B898" s="19" t="n">
        <v>0.000732403575156138</v>
      </c>
    </row>
    <row r="899" customFormat="false" ht="15" hidden="false" customHeight="false" outlineLevel="0" collapsed="false">
      <c r="A899" s="17" t="n">
        <v>43945</v>
      </c>
      <c r="B899" s="19" t="n">
        <v>0.00554213726841946</v>
      </c>
    </row>
    <row r="900" customFormat="false" ht="15" hidden="false" customHeight="false" outlineLevel="0" collapsed="false">
      <c r="A900" s="17" t="n">
        <v>43948</v>
      </c>
      <c r="B900" s="19" t="n">
        <v>0.00832134514226457</v>
      </c>
    </row>
    <row r="901" customFormat="false" ht="15" hidden="false" customHeight="false" outlineLevel="0" collapsed="false">
      <c r="A901" s="17" t="n">
        <v>43949</v>
      </c>
      <c r="B901" s="19" t="n">
        <v>0.00121718738162202</v>
      </c>
    </row>
    <row r="902" customFormat="false" ht="15" hidden="false" customHeight="false" outlineLevel="0" collapsed="false">
      <c r="A902" s="17" t="n">
        <v>43950</v>
      </c>
      <c r="B902" s="19" t="n">
        <v>0.0135490076310549</v>
      </c>
    </row>
    <row r="903" customFormat="false" ht="15" hidden="false" customHeight="false" outlineLevel="0" collapsed="false">
      <c r="A903" s="17" t="n">
        <v>43951</v>
      </c>
      <c r="B903" s="19" t="n">
        <v>-0.0096177803067119</v>
      </c>
    </row>
    <row r="904" customFormat="false" ht="15" hidden="false" customHeight="false" outlineLevel="0" collapsed="false">
      <c r="A904" s="17" t="n">
        <v>43952</v>
      </c>
      <c r="B904" s="19" t="n">
        <v>-0.0126290667068046</v>
      </c>
    </row>
    <row r="905" customFormat="false" ht="15" hidden="false" customHeight="false" outlineLevel="0" collapsed="false">
      <c r="A905" s="17" t="n">
        <v>43955</v>
      </c>
      <c r="B905" s="19" t="n">
        <v>0.000454649962804643</v>
      </c>
    </row>
    <row r="906" customFormat="false" ht="15" hidden="false" customHeight="false" outlineLevel="0" collapsed="false">
      <c r="A906" s="17" t="n">
        <v>43956</v>
      </c>
      <c r="B906" s="19" t="n">
        <v>0.00339578585592548</v>
      </c>
    </row>
    <row r="907" customFormat="false" ht="15" hidden="false" customHeight="false" outlineLevel="0" collapsed="false">
      <c r="A907" s="17" t="n">
        <v>43957</v>
      </c>
      <c r="B907" s="19" t="n">
        <v>-0.00581761993492225</v>
      </c>
    </row>
    <row r="908" customFormat="false" ht="15" hidden="false" customHeight="false" outlineLevel="0" collapsed="false">
      <c r="A908" s="17" t="n">
        <v>43958</v>
      </c>
      <c r="B908" s="19" t="n">
        <v>0.00835644251749312</v>
      </c>
    </row>
    <row r="909" customFormat="false" ht="15" hidden="false" customHeight="false" outlineLevel="0" collapsed="false">
      <c r="A909" s="17" t="n">
        <v>43959</v>
      </c>
      <c r="B909" s="19" t="n">
        <v>0.00770126542840344</v>
      </c>
    </row>
    <row r="910" customFormat="false" ht="15" hidden="false" customHeight="false" outlineLevel="0" collapsed="false">
      <c r="A910" s="17" t="n">
        <v>43962</v>
      </c>
      <c r="B910" s="19" t="n">
        <v>-0.00241905983696478</v>
      </c>
    </row>
    <row r="911" customFormat="false" ht="15" hidden="false" customHeight="false" outlineLevel="0" collapsed="false">
      <c r="A911" s="17" t="n">
        <v>43963</v>
      </c>
      <c r="B911" s="19" t="n">
        <v>-0.00724336853055929</v>
      </c>
    </row>
    <row r="912" customFormat="false" ht="15" hidden="false" customHeight="false" outlineLevel="0" collapsed="false">
      <c r="A912" s="17" t="n">
        <v>43964</v>
      </c>
      <c r="B912" s="19" t="n">
        <v>-0.00610960653744908</v>
      </c>
    </row>
    <row r="913" customFormat="false" ht="15" hidden="false" customHeight="false" outlineLevel="0" collapsed="false">
      <c r="A913" s="17" t="n">
        <v>43965</v>
      </c>
      <c r="B913" s="19" t="n">
        <v>0.00433716661345462</v>
      </c>
    </row>
    <row r="914" customFormat="false" ht="15" hidden="false" customHeight="false" outlineLevel="0" collapsed="false">
      <c r="A914" s="17" t="n">
        <v>43966</v>
      </c>
      <c r="B914" s="19" t="n">
        <v>0.00115982583413921</v>
      </c>
    </row>
    <row r="915" customFormat="false" ht="15" hidden="false" customHeight="false" outlineLevel="0" collapsed="false">
      <c r="A915" s="17" t="n">
        <v>43969</v>
      </c>
      <c r="B915" s="19" t="n">
        <v>0.0173482922843988</v>
      </c>
    </row>
    <row r="916" customFormat="false" ht="15" hidden="false" customHeight="false" outlineLevel="0" collapsed="false">
      <c r="A916" s="17" t="n">
        <v>43970</v>
      </c>
      <c r="B916" s="19" t="n">
        <v>-0.00402798513966829</v>
      </c>
    </row>
    <row r="917" customFormat="false" ht="15" hidden="false" customHeight="false" outlineLevel="0" collapsed="false">
      <c r="A917" s="17" t="n">
        <v>43971</v>
      </c>
      <c r="B917" s="19" t="n">
        <v>0.00910899141117172</v>
      </c>
    </row>
    <row r="918" customFormat="false" ht="15" hidden="false" customHeight="false" outlineLevel="0" collapsed="false">
      <c r="A918" s="17" t="n">
        <v>43972</v>
      </c>
      <c r="B918" s="19" t="n">
        <v>-0.00419933600389932</v>
      </c>
    </row>
    <row r="919" customFormat="false" ht="15" hidden="false" customHeight="false" outlineLevel="0" collapsed="false">
      <c r="A919" s="17" t="n">
        <v>43973</v>
      </c>
      <c r="B919" s="19" t="n">
        <v>0.000405165982442668</v>
      </c>
    </row>
    <row r="920" customFormat="false" ht="15" hidden="false" customHeight="false" outlineLevel="0" collapsed="false">
      <c r="A920" s="17" t="n">
        <v>43977</v>
      </c>
      <c r="B920" s="19" t="n">
        <v>0.00777860902530136</v>
      </c>
    </row>
    <row r="921" customFormat="false" ht="15" hidden="false" customHeight="false" outlineLevel="0" collapsed="false">
      <c r="A921" s="17" t="n">
        <v>43978</v>
      </c>
      <c r="B921" s="19" t="n">
        <v>0.0066903038334436</v>
      </c>
    </row>
    <row r="922" customFormat="false" ht="15" hidden="false" customHeight="false" outlineLevel="0" collapsed="false">
      <c r="A922" s="17" t="n">
        <v>43979</v>
      </c>
      <c r="B922" s="19" t="n">
        <v>-0.00030359650485412</v>
      </c>
    </row>
    <row r="923" customFormat="false" ht="15" hidden="false" customHeight="false" outlineLevel="0" collapsed="false">
      <c r="A923" s="17" t="n">
        <v>43980</v>
      </c>
      <c r="B923" s="19" t="n">
        <v>0.00333714909257488</v>
      </c>
    </row>
    <row r="924" customFormat="false" ht="15" hidden="false" customHeight="false" outlineLevel="0" collapsed="false">
      <c r="A924" s="17" t="n">
        <v>43983</v>
      </c>
      <c r="B924" s="19" t="n">
        <v>0.00724912057698113</v>
      </c>
    </row>
    <row r="925" customFormat="false" ht="15" hidden="false" customHeight="false" outlineLevel="0" collapsed="false">
      <c r="A925" s="17" t="n">
        <v>43984</v>
      </c>
      <c r="B925" s="19" t="n">
        <v>0.00485611629867755</v>
      </c>
    </row>
    <row r="926" customFormat="false" ht="15" hidden="false" customHeight="false" outlineLevel="0" collapsed="false">
      <c r="A926" s="17" t="n">
        <v>43985</v>
      </c>
      <c r="B926" s="19" t="n">
        <v>0.0063902409396519</v>
      </c>
    </row>
    <row r="927" customFormat="false" ht="15" hidden="false" customHeight="false" outlineLevel="0" collapsed="false">
      <c r="A927" s="17" t="n">
        <v>43986</v>
      </c>
      <c r="B927" s="19" t="n">
        <v>-0.0033214605546924</v>
      </c>
    </row>
    <row r="928" customFormat="false" ht="15" hidden="false" customHeight="false" outlineLevel="0" collapsed="false">
      <c r="A928" s="17" t="n">
        <v>43987</v>
      </c>
      <c r="B928" s="19" t="n">
        <v>0.0117420229003939</v>
      </c>
    </row>
    <row r="929" customFormat="false" ht="15" hidden="false" customHeight="false" outlineLevel="0" collapsed="false">
      <c r="A929" s="17" t="n">
        <v>43990</v>
      </c>
      <c r="B929" s="19" t="n">
        <v>0.00759569821144157</v>
      </c>
    </row>
    <row r="930" customFormat="false" ht="15" hidden="false" customHeight="false" outlineLevel="0" collapsed="false">
      <c r="A930" s="17" t="n">
        <v>43991</v>
      </c>
      <c r="B930" s="19" t="n">
        <v>-0.00428306934029699</v>
      </c>
    </row>
    <row r="931" customFormat="false" ht="15" hidden="false" customHeight="false" outlineLevel="0" collapsed="false">
      <c r="A931" s="17" t="n">
        <v>43992</v>
      </c>
      <c r="B931" s="19" t="n">
        <v>-0.000237909879951093</v>
      </c>
    </row>
    <row r="932" customFormat="false" ht="15" hidden="false" customHeight="false" outlineLevel="0" collapsed="false">
      <c r="A932" s="17" t="n">
        <v>43993</v>
      </c>
      <c r="B932" s="19" t="n">
        <v>-0.0296076696505354</v>
      </c>
    </row>
    <row r="933" customFormat="false" ht="15" hidden="false" customHeight="false" outlineLevel="0" collapsed="false">
      <c r="A933" s="17" t="n">
        <v>43994</v>
      </c>
      <c r="B933" s="19" t="n">
        <v>0.00832899500311135</v>
      </c>
    </row>
    <row r="934" customFormat="false" ht="15" hidden="false" customHeight="false" outlineLevel="0" collapsed="false">
      <c r="A934" s="17" t="n">
        <v>43997</v>
      </c>
      <c r="B934" s="19" t="n">
        <v>0.00441180992264267</v>
      </c>
    </row>
    <row r="935" customFormat="false" ht="15" hidden="false" customHeight="false" outlineLevel="0" collapsed="false">
      <c r="A935" s="17" t="n">
        <v>43998</v>
      </c>
      <c r="B935" s="19" t="n">
        <v>0.00754890741117587</v>
      </c>
    </row>
    <row r="936" customFormat="false" ht="15" hidden="false" customHeight="false" outlineLevel="0" collapsed="false">
      <c r="A936" s="17" t="n">
        <v>43999</v>
      </c>
      <c r="B936" s="19" t="n">
        <v>-0.00125046203156043</v>
      </c>
    </row>
    <row r="937" customFormat="false" ht="15" hidden="false" customHeight="false" outlineLevel="0" collapsed="false">
      <c r="A937" s="17" t="n">
        <v>44000</v>
      </c>
      <c r="B937" s="19" t="n">
        <v>-6.2843638419241E-005</v>
      </c>
    </row>
    <row r="938" customFormat="false" ht="15" hidden="false" customHeight="false" outlineLevel="0" collapsed="false">
      <c r="A938" s="17" t="n">
        <v>44001</v>
      </c>
      <c r="B938" s="19" t="n">
        <v>-0.00104284737574456</v>
      </c>
    </row>
    <row r="939" customFormat="false" ht="15" hidden="false" customHeight="false" outlineLevel="0" collapsed="false">
      <c r="A939" s="17" t="n">
        <v>44004</v>
      </c>
      <c r="B939" s="19" t="n">
        <v>0.00386348415160742</v>
      </c>
    </row>
    <row r="940" customFormat="false" ht="15" hidden="false" customHeight="false" outlineLevel="0" collapsed="false">
      <c r="A940" s="17" t="n">
        <v>44005</v>
      </c>
      <c r="B940" s="19" t="n">
        <v>0.00248574114383815</v>
      </c>
    </row>
    <row r="941" customFormat="false" ht="15" hidden="false" customHeight="false" outlineLevel="0" collapsed="false">
      <c r="A941" s="17" t="n">
        <v>44006</v>
      </c>
      <c r="B941" s="19" t="n">
        <v>-0.0127780386811444</v>
      </c>
    </row>
    <row r="942" customFormat="false" ht="15" hidden="false" customHeight="false" outlineLevel="0" collapsed="false">
      <c r="A942" s="17" t="n">
        <v>44007</v>
      </c>
      <c r="B942" s="19" t="n">
        <v>0.00642177242378761</v>
      </c>
    </row>
    <row r="943" customFormat="false" ht="15" hidden="false" customHeight="false" outlineLevel="0" collapsed="false">
      <c r="A943" s="17" t="n">
        <v>44008</v>
      </c>
      <c r="B943" s="19" t="n">
        <v>-0.00856312617383981</v>
      </c>
    </row>
    <row r="944" customFormat="false" ht="15" hidden="false" customHeight="false" outlineLevel="0" collapsed="false">
      <c r="A944" s="17" t="n">
        <v>44011</v>
      </c>
      <c r="B944" s="19" t="n">
        <v>0.00646722290056245</v>
      </c>
    </row>
    <row r="945" customFormat="false" ht="15" hidden="false" customHeight="false" outlineLevel="0" collapsed="false">
      <c r="A945" s="17" t="n">
        <v>44012</v>
      </c>
      <c r="B945" s="19" t="n">
        <v>0.00371008012932106</v>
      </c>
    </row>
    <row r="946" customFormat="false" ht="15" hidden="false" customHeight="false" outlineLevel="0" collapsed="false">
      <c r="A946" s="17" t="n">
        <v>44013</v>
      </c>
      <c r="B946" s="19" t="n">
        <v>0.00368456708583853</v>
      </c>
    </row>
    <row r="947" customFormat="false" ht="15" hidden="false" customHeight="false" outlineLevel="0" collapsed="false">
      <c r="A947" s="17" t="n">
        <v>44014</v>
      </c>
      <c r="B947" s="19" t="n">
        <v>0.00444071300133397</v>
      </c>
    </row>
    <row r="948" customFormat="false" ht="15" hidden="false" customHeight="false" outlineLevel="0" collapsed="false">
      <c r="A948" s="17" t="n">
        <v>44018</v>
      </c>
      <c r="B948" s="19" t="n">
        <v>0.00948441218840967</v>
      </c>
    </row>
    <row r="949" customFormat="false" ht="15" hidden="false" customHeight="false" outlineLevel="0" collapsed="false">
      <c r="A949" s="17" t="n">
        <v>44019</v>
      </c>
      <c r="B949" s="19" t="n">
        <v>-0.00482548185730647</v>
      </c>
    </row>
    <row r="950" customFormat="false" ht="15" hidden="false" customHeight="false" outlineLevel="0" collapsed="false">
      <c r="A950" s="17" t="n">
        <v>44020</v>
      </c>
      <c r="B950" s="19" t="n">
        <v>0.00452148291204946</v>
      </c>
    </row>
    <row r="951" customFormat="false" ht="15" hidden="false" customHeight="false" outlineLevel="0" collapsed="false">
      <c r="A951" s="17" t="n">
        <v>44021</v>
      </c>
      <c r="B951" s="19" t="n">
        <v>-0.00257351544942019</v>
      </c>
    </row>
    <row r="952" customFormat="false" ht="15" hidden="false" customHeight="false" outlineLevel="0" collapsed="false">
      <c r="A952" s="17" t="n">
        <v>44022</v>
      </c>
      <c r="B952" s="19" t="n">
        <v>0.00284313200613662</v>
      </c>
    </row>
    <row r="953" customFormat="false" ht="15" hidden="false" customHeight="false" outlineLevel="0" collapsed="false">
      <c r="A953" s="17" t="n">
        <v>44025</v>
      </c>
      <c r="B953" s="19" t="n">
        <v>-0.00368499685936174</v>
      </c>
    </row>
    <row r="954" customFormat="false" ht="15" hidden="false" customHeight="false" outlineLevel="0" collapsed="false">
      <c r="A954" s="17" t="n">
        <v>44026</v>
      </c>
      <c r="B954" s="19" t="n">
        <v>0.00635575795266608</v>
      </c>
    </row>
    <row r="955" customFormat="false" ht="15" hidden="false" customHeight="false" outlineLevel="0" collapsed="false">
      <c r="A955" s="17" t="n">
        <v>44027</v>
      </c>
      <c r="B955" s="19" t="n">
        <v>0.00485418284324246</v>
      </c>
    </row>
    <row r="956" customFormat="false" ht="15" hidden="false" customHeight="false" outlineLevel="0" collapsed="false">
      <c r="A956" s="17" t="n">
        <v>44028</v>
      </c>
      <c r="B956" s="19" t="n">
        <v>-0.00313065871678253</v>
      </c>
    </row>
    <row r="957" customFormat="false" ht="15" hidden="false" customHeight="false" outlineLevel="0" collapsed="false">
      <c r="A957" s="17" t="n">
        <v>44029</v>
      </c>
      <c r="B957" s="19" t="n">
        <v>0.00311870691522875</v>
      </c>
    </row>
    <row r="958" customFormat="false" ht="15" hidden="false" customHeight="false" outlineLevel="0" collapsed="false">
      <c r="A958" s="17" t="n">
        <v>44032</v>
      </c>
      <c r="B958" s="19" t="n">
        <v>0.0037762242679793</v>
      </c>
    </row>
    <row r="959" customFormat="false" ht="15" hidden="false" customHeight="false" outlineLevel="0" collapsed="false">
      <c r="A959" s="17" t="n">
        <v>44033</v>
      </c>
      <c r="B959" s="19" t="n">
        <v>0.00303336883170746</v>
      </c>
    </row>
    <row r="960" customFormat="false" ht="15" hidden="false" customHeight="false" outlineLevel="0" collapsed="false">
      <c r="A960" s="17" t="n">
        <v>44034</v>
      </c>
      <c r="B960" s="19" t="n">
        <v>0.00354613775147672</v>
      </c>
    </row>
    <row r="961" customFormat="false" ht="15" hidden="false" customHeight="false" outlineLevel="0" collapsed="false">
      <c r="A961" s="17" t="n">
        <v>44035</v>
      </c>
      <c r="B961" s="19" t="n">
        <v>-0.00390382457964189</v>
      </c>
    </row>
    <row r="962" customFormat="false" ht="15" hidden="false" customHeight="false" outlineLevel="0" collapsed="false">
      <c r="A962" s="17" t="n">
        <v>44036</v>
      </c>
      <c r="B962" s="19" t="n">
        <v>-0.00253670233282954</v>
      </c>
    </row>
    <row r="963" customFormat="false" ht="15" hidden="false" customHeight="false" outlineLevel="0" collapsed="false">
      <c r="A963" s="17" t="n">
        <v>44039</v>
      </c>
      <c r="B963" s="19" t="n">
        <v>0.00725585958067176</v>
      </c>
    </row>
    <row r="964" customFormat="false" ht="15" hidden="false" customHeight="false" outlineLevel="0" collapsed="false">
      <c r="A964" s="17" t="n">
        <v>44040</v>
      </c>
      <c r="B964" s="19" t="n">
        <v>-0.00205925871802359</v>
      </c>
    </row>
    <row r="965" customFormat="false" ht="15" hidden="false" customHeight="false" outlineLevel="0" collapsed="false">
      <c r="A965" s="17" t="n">
        <v>44041</v>
      </c>
      <c r="B965" s="19" t="n">
        <v>0.00801872270428738</v>
      </c>
    </row>
    <row r="966" customFormat="false" ht="15" hidden="false" customHeight="false" outlineLevel="0" collapsed="false">
      <c r="A966" s="17" t="n">
        <v>44042</v>
      </c>
      <c r="B966" s="19" t="n">
        <v>-0.00363359987386758</v>
      </c>
    </row>
    <row r="967" customFormat="false" ht="15" hidden="false" customHeight="false" outlineLevel="0" collapsed="false">
      <c r="A967" s="17" t="n">
        <v>44043</v>
      </c>
      <c r="B967" s="19" t="n">
        <v>4.75607785332954E-005</v>
      </c>
    </row>
    <row r="968" customFormat="false" ht="15" hidden="false" customHeight="false" outlineLevel="0" collapsed="false">
      <c r="A968" s="17" t="n">
        <v>44046</v>
      </c>
      <c r="B968" s="19" t="n">
        <v>0.00430134078644961</v>
      </c>
    </row>
    <row r="969" customFormat="false" ht="15" hidden="false" customHeight="false" outlineLevel="0" collapsed="false">
      <c r="A969" s="17" t="n">
        <v>44047</v>
      </c>
      <c r="B969" s="19" t="n">
        <v>0.00557470705629681</v>
      </c>
    </row>
    <row r="970" customFormat="false" ht="15" hidden="false" customHeight="false" outlineLevel="0" collapsed="false">
      <c r="A970" s="17" t="n">
        <v>44048</v>
      </c>
      <c r="B970" s="19" t="n">
        <v>0.00380960376670614</v>
      </c>
    </row>
    <row r="971" customFormat="false" ht="15" hidden="false" customHeight="false" outlineLevel="0" collapsed="false">
      <c r="A971" s="17" t="n">
        <v>44049</v>
      </c>
      <c r="B971" s="19" t="n">
        <v>0.0034475903108262</v>
      </c>
    </row>
    <row r="972" customFormat="false" ht="15" hidden="false" customHeight="false" outlineLevel="0" collapsed="false">
      <c r="A972" s="17" t="n">
        <v>44050</v>
      </c>
      <c r="B972" s="19" t="n">
        <v>-0.00284491035791368</v>
      </c>
    </row>
    <row r="973" customFormat="false" ht="15" hidden="false" customHeight="false" outlineLevel="0" collapsed="false">
      <c r="A973" s="17" t="n">
        <v>44053</v>
      </c>
      <c r="B973" s="19" t="n">
        <v>0.000837902562726978</v>
      </c>
    </row>
    <row r="974" customFormat="false" ht="15" hidden="false" customHeight="false" outlineLevel="0" collapsed="false">
      <c r="A974" s="17" t="n">
        <v>44054</v>
      </c>
      <c r="B974" s="19" t="n">
        <v>-0.00769707143407783</v>
      </c>
    </row>
    <row r="975" customFormat="false" ht="15" hidden="false" customHeight="false" outlineLevel="0" collapsed="false">
      <c r="A975" s="17" t="n">
        <v>44055</v>
      </c>
      <c r="B975" s="19" t="n">
        <v>0.00660988765088799</v>
      </c>
    </row>
    <row r="976" customFormat="false" ht="15" hidden="false" customHeight="false" outlineLevel="0" collapsed="false">
      <c r="A976" s="17" t="n">
        <v>44056</v>
      </c>
      <c r="B976" s="19" t="n">
        <v>-0.000294495832057429</v>
      </c>
    </row>
    <row r="977" customFormat="false" ht="15" hidden="false" customHeight="false" outlineLevel="0" collapsed="false">
      <c r="A977" s="17" t="n">
        <v>44057</v>
      </c>
      <c r="B977" s="19" t="n">
        <v>-0.00120602330559649</v>
      </c>
    </row>
    <row r="978" customFormat="false" ht="15" hidden="false" customHeight="false" outlineLevel="0" collapsed="false">
      <c r="A978" s="17" t="n">
        <v>44060</v>
      </c>
      <c r="B978" s="19" t="n">
        <v>0.00558542872942525</v>
      </c>
    </row>
    <row r="979" customFormat="false" ht="15" hidden="false" customHeight="false" outlineLevel="0" collapsed="false">
      <c r="A979" s="17" t="n">
        <v>44061</v>
      </c>
      <c r="B979" s="19" t="n">
        <v>0.00193294974928038</v>
      </c>
    </row>
    <row r="980" customFormat="false" ht="15" hidden="false" customHeight="false" outlineLevel="0" collapsed="false">
      <c r="A980" s="17" t="n">
        <v>44062</v>
      </c>
      <c r="B980" s="19" t="n">
        <v>-0.00587309586420937</v>
      </c>
    </row>
    <row r="981" customFormat="false" ht="15" hidden="false" customHeight="false" outlineLevel="0" collapsed="false">
      <c r="A981" s="17" t="n">
        <v>44063</v>
      </c>
      <c r="B981" s="19" t="n">
        <v>0.00178257425246642</v>
      </c>
    </row>
    <row r="982" customFormat="false" ht="15" hidden="false" customHeight="false" outlineLevel="0" collapsed="false">
      <c r="A982" s="17" t="n">
        <v>44064</v>
      </c>
      <c r="B982" s="19" t="n">
        <v>0.000882360572882268</v>
      </c>
    </row>
    <row r="983" customFormat="false" ht="15" hidden="false" customHeight="false" outlineLevel="0" collapsed="false">
      <c r="A983" s="17" t="n">
        <v>44067</v>
      </c>
      <c r="B983" s="19" t="n">
        <v>0.00461353947751353</v>
      </c>
    </row>
    <row r="984" customFormat="false" ht="15" hidden="false" customHeight="false" outlineLevel="0" collapsed="false">
      <c r="A984" s="17" t="n">
        <v>44068</v>
      </c>
      <c r="B984" s="19" t="n">
        <v>0.00138883443061122</v>
      </c>
    </row>
    <row r="985" customFormat="false" ht="15" hidden="false" customHeight="false" outlineLevel="0" collapsed="false">
      <c r="A985" s="17" t="n">
        <v>44069</v>
      </c>
      <c r="B985" s="19" t="n">
        <v>0.00391496035635797</v>
      </c>
    </row>
    <row r="986" customFormat="false" ht="15" hidden="false" customHeight="false" outlineLevel="0" collapsed="false">
      <c r="A986" s="17" t="n">
        <v>44070</v>
      </c>
      <c r="B986" s="19" t="n">
        <v>-0.00276734468392159</v>
      </c>
    </row>
    <row r="987" customFormat="false" ht="15" hidden="false" customHeight="false" outlineLevel="0" collapsed="false">
      <c r="A987" s="17" t="n">
        <v>44071</v>
      </c>
      <c r="B987" s="19" t="n">
        <v>0.00566600877617085</v>
      </c>
    </row>
    <row r="988" customFormat="false" ht="15" hidden="false" customHeight="false" outlineLevel="0" collapsed="false">
      <c r="A988" s="17" t="n">
        <v>44074</v>
      </c>
      <c r="B988" s="19" t="n">
        <v>-0.0016316463086159</v>
      </c>
    </row>
    <row r="989" customFormat="false" ht="15" hidden="false" customHeight="false" outlineLevel="0" collapsed="false">
      <c r="A989" s="17" t="n">
        <v>44075</v>
      </c>
      <c r="B989" s="19" t="n">
        <v>0.00471381488228118</v>
      </c>
    </row>
    <row r="990" customFormat="false" ht="15" hidden="false" customHeight="false" outlineLevel="0" collapsed="false">
      <c r="A990" s="17" t="n">
        <v>44076</v>
      </c>
      <c r="B990" s="19" t="n">
        <v>0.00509133757239688</v>
      </c>
    </row>
    <row r="991" customFormat="false" ht="15" hidden="false" customHeight="false" outlineLevel="0" collapsed="false">
      <c r="A991" s="17" t="n">
        <v>44077</v>
      </c>
      <c r="B991" s="19" t="n">
        <v>-0.0150035449116432</v>
      </c>
    </row>
    <row r="992" customFormat="false" ht="15" hidden="false" customHeight="false" outlineLevel="0" collapsed="false">
      <c r="A992" s="17" t="n">
        <v>44078</v>
      </c>
      <c r="B992" s="19" t="n">
        <v>-0.00389070854768003</v>
      </c>
    </row>
    <row r="993" customFormat="false" ht="15" hidden="false" customHeight="false" outlineLevel="0" collapsed="false">
      <c r="A993" s="17" t="n">
        <v>44082</v>
      </c>
      <c r="B993" s="19" t="n">
        <v>-0.0103368360113642</v>
      </c>
    </row>
    <row r="994" customFormat="false" ht="15" hidden="false" customHeight="false" outlineLevel="0" collapsed="false">
      <c r="A994" s="17" t="n">
        <v>44083</v>
      </c>
      <c r="B994" s="19" t="n">
        <v>0.00929864921156542</v>
      </c>
    </row>
    <row r="995" customFormat="false" ht="15" hidden="false" customHeight="false" outlineLevel="0" collapsed="false">
      <c r="A995" s="17" t="n">
        <v>44084</v>
      </c>
      <c r="B995" s="19" t="n">
        <v>-0.00740362104445702</v>
      </c>
    </row>
    <row r="996" customFormat="false" ht="15" hidden="false" customHeight="false" outlineLevel="0" collapsed="false">
      <c r="A996" s="17" t="n">
        <v>44085</v>
      </c>
      <c r="B996" s="19" t="n">
        <v>0.00167802268072048</v>
      </c>
    </row>
    <row r="997" customFormat="false" ht="15" hidden="false" customHeight="false" outlineLevel="0" collapsed="false">
      <c r="A997" s="17" t="n">
        <v>44088</v>
      </c>
      <c r="B997" s="19" t="n">
        <v>0.00801162957438484</v>
      </c>
    </row>
    <row r="998" customFormat="false" ht="15" hidden="false" customHeight="false" outlineLevel="0" collapsed="false">
      <c r="A998" s="17" t="n">
        <v>44089</v>
      </c>
      <c r="B998" s="19" t="n">
        <v>0.00365251162205693</v>
      </c>
    </row>
    <row r="999" customFormat="false" ht="15" hidden="false" customHeight="false" outlineLevel="0" collapsed="false">
      <c r="A999" s="17" t="n">
        <v>44090</v>
      </c>
      <c r="B999" s="19" t="n">
        <v>-0.000933490318913988</v>
      </c>
    </row>
    <row r="1000" customFormat="false" ht="15" hidden="false" customHeight="false" outlineLevel="0" collapsed="false">
      <c r="A1000" s="17" t="n">
        <v>44091</v>
      </c>
      <c r="B1000" s="19" t="n">
        <v>-0.00308154190395626</v>
      </c>
    </row>
    <row r="1001" customFormat="false" ht="15" hidden="false" customHeight="false" outlineLevel="0" collapsed="false">
      <c r="A1001" s="17" t="n">
        <v>44092</v>
      </c>
      <c r="B1001" s="19" t="n">
        <v>-0.00489651179408179</v>
      </c>
    </row>
    <row r="1002" customFormat="false" ht="15" hidden="false" customHeight="false" outlineLevel="0" collapsed="false">
      <c r="A1002" s="17" t="n">
        <v>44095</v>
      </c>
      <c r="B1002" s="19" t="n">
        <v>-0.00955817190905428</v>
      </c>
    </row>
    <row r="1003" customFormat="false" ht="15" hidden="false" customHeight="false" outlineLevel="0" collapsed="false">
      <c r="A1003" s="17" t="n">
        <v>44096</v>
      </c>
      <c r="B1003" s="19" t="n">
        <v>0.00182590615861034</v>
      </c>
    </row>
    <row r="1004" customFormat="false" ht="15" hidden="false" customHeight="false" outlineLevel="0" collapsed="false">
      <c r="A1004" s="17" t="n">
        <v>44097</v>
      </c>
      <c r="B1004" s="19" t="n">
        <v>-0.0120041018296877</v>
      </c>
    </row>
    <row r="1005" customFormat="false" ht="15" hidden="false" customHeight="false" outlineLevel="0" collapsed="false">
      <c r="A1005" s="17" t="n">
        <v>44098</v>
      </c>
      <c r="B1005" s="19" t="n">
        <v>0.00116325215962099</v>
      </c>
    </row>
    <row r="1006" customFormat="false" ht="15" hidden="false" customHeight="false" outlineLevel="0" collapsed="false">
      <c r="A1006" s="17" t="n">
        <v>44099</v>
      </c>
      <c r="B1006" s="19" t="n">
        <v>0.00527674385689547</v>
      </c>
    </row>
    <row r="1007" customFormat="false" ht="15" hidden="false" customHeight="false" outlineLevel="0" collapsed="false">
      <c r="A1007" s="17" t="n">
        <v>44102</v>
      </c>
      <c r="B1007" s="19" t="n">
        <v>0.00975040707483887</v>
      </c>
    </row>
    <row r="1008" customFormat="false" ht="15" hidden="false" customHeight="false" outlineLevel="0" collapsed="false">
      <c r="A1008" s="17" t="n">
        <v>44103</v>
      </c>
      <c r="B1008" s="19" t="n">
        <v>-0.00168075015367142</v>
      </c>
    </row>
    <row r="1009" customFormat="false" ht="15" hidden="false" customHeight="false" outlineLevel="0" collapsed="false">
      <c r="A1009" s="17" t="n">
        <v>44104</v>
      </c>
      <c r="B1009" s="19" t="n">
        <v>0.00230629718437148</v>
      </c>
    </row>
    <row r="1010" customFormat="false" ht="15" hidden="false" customHeight="false" outlineLevel="0" collapsed="false">
      <c r="A1010" s="17" t="n">
        <v>44105</v>
      </c>
      <c r="B1010" s="19" t="n">
        <v>0.0042085726833192</v>
      </c>
    </row>
    <row r="1011" customFormat="false" ht="15" hidden="false" customHeight="false" outlineLevel="0" collapsed="false">
      <c r="A1011" s="17" t="n">
        <v>44106</v>
      </c>
      <c r="B1011" s="19" t="n">
        <v>-0.00300221979941429</v>
      </c>
    </row>
    <row r="1012" customFormat="false" ht="15" hidden="false" customHeight="false" outlineLevel="0" collapsed="false">
      <c r="A1012" s="17" t="n">
        <v>44109</v>
      </c>
      <c r="B1012" s="19" t="n">
        <v>0.00649974925155417</v>
      </c>
    </row>
    <row r="1013" customFormat="false" ht="15" hidden="false" customHeight="false" outlineLevel="0" collapsed="false">
      <c r="A1013" s="17" t="n">
        <v>44110</v>
      </c>
      <c r="B1013" s="19" t="n">
        <v>-0.00468119023718949</v>
      </c>
    </row>
    <row r="1014" customFormat="false" ht="15" hidden="false" customHeight="false" outlineLevel="0" collapsed="false">
      <c r="A1014" s="17" t="n">
        <v>44111</v>
      </c>
      <c r="B1014" s="19" t="n">
        <v>0.00584272400387875</v>
      </c>
    </row>
    <row r="1015" customFormat="false" ht="15" hidden="false" customHeight="false" outlineLevel="0" collapsed="false">
      <c r="A1015" s="17" t="n">
        <v>44112</v>
      </c>
      <c r="B1015" s="19" t="n">
        <v>0.0057332373782244</v>
      </c>
    </row>
    <row r="1016" customFormat="false" ht="15" hidden="false" customHeight="false" outlineLevel="0" collapsed="false">
      <c r="A1016" s="17" t="n">
        <v>44113</v>
      </c>
      <c r="B1016" s="19" t="n">
        <v>0.0041102937943962</v>
      </c>
    </row>
    <row r="1017" customFormat="false" ht="15" hidden="false" customHeight="false" outlineLevel="0" collapsed="false">
      <c r="A1017" s="17" t="n">
        <v>44116</v>
      </c>
      <c r="B1017" s="19" t="n">
        <v>0.00554176495095748</v>
      </c>
    </row>
    <row r="1018" customFormat="false" ht="15" hidden="false" customHeight="false" outlineLevel="0" collapsed="false">
      <c r="A1018" s="17" t="n">
        <v>44117</v>
      </c>
      <c r="B1018" s="19" t="n">
        <v>-0.00395030081913039</v>
      </c>
    </row>
    <row r="1019" customFormat="false" ht="15" hidden="false" customHeight="false" outlineLevel="0" collapsed="false">
      <c r="A1019" s="17" t="n">
        <v>44118</v>
      </c>
      <c r="B1019" s="19" t="n">
        <v>-0.00209388173712222</v>
      </c>
    </row>
    <row r="1020" customFormat="false" ht="15" hidden="false" customHeight="false" outlineLevel="0" collapsed="false">
      <c r="A1020" s="17" t="n">
        <v>44119</v>
      </c>
      <c r="B1020" s="19" t="n">
        <v>-0.00143785744994351</v>
      </c>
    </row>
    <row r="1021" customFormat="false" ht="15" hidden="false" customHeight="false" outlineLevel="0" collapsed="false">
      <c r="A1021" s="17" t="n">
        <v>44120</v>
      </c>
      <c r="B1021" s="19" t="n">
        <v>-0.000347261334364357</v>
      </c>
    </row>
    <row r="1022" customFormat="false" ht="15" hidden="false" customHeight="false" outlineLevel="0" collapsed="false">
      <c r="A1022" s="17" t="n">
        <v>44123</v>
      </c>
      <c r="B1022" s="19" t="n">
        <v>-0.00577834699581503</v>
      </c>
    </row>
    <row r="1023" customFormat="false" ht="15" hidden="false" customHeight="false" outlineLevel="0" collapsed="false">
      <c r="A1023" s="17" t="n">
        <v>44124</v>
      </c>
      <c r="B1023" s="19" t="n">
        <v>0.0021980649606117</v>
      </c>
    </row>
    <row r="1024" customFormat="false" ht="15" hidden="false" customHeight="false" outlineLevel="0" collapsed="false">
      <c r="A1024" s="17" t="n">
        <v>44125</v>
      </c>
      <c r="B1024" s="19" t="n">
        <v>-0.000937141992333967</v>
      </c>
    </row>
    <row r="1025" customFormat="false" ht="15" hidden="false" customHeight="false" outlineLevel="0" collapsed="false">
      <c r="A1025" s="17" t="n">
        <v>44126</v>
      </c>
      <c r="B1025" s="19" t="n">
        <v>0.00052344244735969</v>
      </c>
    </row>
    <row r="1026" customFormat="false" ht="15" hidden="false" customHeight="false" outlineLevel="0" collapsed="false">
      <c r="A1026" s="17" t="n">
        <v>44127</v>
      </c>
      <c r="B1026" s="19" t="n">
        <v>0.00216751084792755</v>
      </c>
    </row>
    <row r="1027" customFormat="false" ht="15" hidden="false" customHeight="false" outlineLevel="0" collapsed="false">
      <c r="A1027" s="17" t="n">
        <v>44130</v>
      </c>
      <c r="B1027" s="19" t="n">
        <v>-0.00817621286197368</v>
      </c>
    </row>
    <row r="1028" customFormat="false" ht="15" hidden="false" customHeight="false" outlineLevel="0" collapsed="false">
      <c r="A1028" s="17" t="n">
        <v>44131</v>
      </c>
      <c r="B1028" s="19" t="n">
        <v>-0.00124812925141227</v>
      </c>
    </row>
    <row r="1029" customFormat="false" ht="15" hidden="false" customHeight="false" outlineLevel="0" collapsed="false">
      <c r="A1029" s="17" t="n">
        <v>44132</v>
      </c>
      <c r="B1029" s="19" t="n">
        <v>-0.0157316483459881</v>
      </c>
    </row>
    <row r="1030" customFormat="false" ht="15" hidden="false" customHeight="false" outlineLevel="0" collapsed="false">
      <c r="A1030" s="17" t="n">
        <v>44133</v>
      </c>
      <c r="B1030" s="19" t="n">
        <v>0.00224106502600319</v>
      </c>
    </row>
    <row r="1031" customFormat="false" ht="15" hidden="false" customHeight="false" outlineLevel="0" collapsed="false">
      <c r="A1031" s="17" t="n">
        <v>44134</v>
      </c>
      <c r="B1031" s="19" t="n">
        <v>-0.00454544699427972</v>
      </c>
    </row>
    <row r="1032" customFormat="false" ht="15" hidden="false" customHeight="false" outlineLevel="0" collapsed="false">
      <c r="A1032" s="17" t="n">
        <v>44137</v>
      </c>
      <c r="B1032" s="19" t="n">
        <v>0.00713078711307569</v>
      </c>
    </row>
    <row r="1033" customFormat="false" ht="15" hidden="false" customHeight="false" outlineLevel="0" collapsed="false">
      <c r="A1033" s="17" t="n">
        <v>44138</v>
      </c>
      <c r="B1033" s="19" t="n">
        <v>0.00836730823858889</v>
      </c>
    </row>
    <row r="1034" customFormat="false" ht="15" hidden="false" customHeight="false" outlineLevel="0" collapsed="false">
      <c r="A1034" s="17" t="n">
        <v>44139</v>
      </c>
      <c r="B1034" s="19" t="n">
        <v>0.0110030150539826</v>
      </c>
    </row>
    <row r="1035" customFormat="false" ht="15" hidden="false" customHeight="false" outlineLevel="0" collapsed="false">
      <c r="A1035" s="17" t="n">
        <v>44140</v>
      </c>
      <c r="B1035" s="19" t="n">
        <v>0.0101098620296867</v>
      </c>
    </row>
    <row r="1036" customFormat="false" ht="15" hidden="false" customHeight="false" outlineLevel="0" collapsed="false">
      <c r="A1036" s="17" t="n">
        <v>44141</v>
      </c>
      <c r="B1036" s="19" t="n">
        <v>-0.000851035787082344</v>
      </c>
    </row>
    <row r="1037" customFormat="false" ht="15" hidden="false" customHeight="false" outlineLevel="0" collapsed="false">
      <c r="A1037" s="17" t="n">
        <v>44144</v>
      </c>
      <c r="B1037" s="19" t="n">
        <v>0.00388623191412219</v>
      </c>
    </row>
    <row r="1038" customFormat="false" ht="15" hidden="false" customHeight="false" outlineLevel="0" collapsed="false">
      <c r="A1038" s="17" t="n">
        <v>44145</v>
      </c>
      <c r="B1038" s="19" t="n">
        <v>0.000468017724241321</v>
      </c>
    </row>
    <row r="1039" customFormat="false" ht="15" hidden="false" customHeight="false" outlineLevel="0" collapsed="false">
      <c r="A1039" s="17" t="n">
        <v>44146</v>
      </c>
      <c r="B1039" s="19" t="n">
        <v>0.0037383447319721</v>
      </c>
    </row>
    <row r="1040" customFormat="false" ht="15" hidden="false" customHeight="false" outlineLevel="0" collapsed="false">
      <c r="A1040" s="17" t="n">
        <v>44147</v>
      </c>
      <c r="B1040" s="19" t="n">
        <v>-0.00377249430909521</v>
      </c>
    </row>
    <row r="1041" customFormat="false" ht="15" hidden="false" customHeight="false" outlineLevel="0" collapsed="false">
      <c r="A1041" s="17" t="n">
        <v>44148</v>
      </c>
      <c r="B1041" s="19" t="n">
        <v>0.00732300271843656</v>
      </c>
    </row>
    <row r="1042" customFormat="false" ht="15" hidden="false" customHeight="false" outlineLevel="0" collapsed="false">
      <c r="A1042" s="17" t="n">
        <v>44151</v>
      </c>
      <c r="B1042" s="19" t="n">
        <v>0.00612881879133265</v>
      </c>
    </row>
    <row r="1043" customFormat="false" ht="15" hidden="false" customHeight="false" outlineLevel="0" collapsed="false">
      <c r="A1043" s="17" t="n">
        <v>44152</v>
      </c>
      <c r="B1043" s="19" t="n">
        <v>0.000103077471465651</v>
      </c>
    </row>
    <row r="1044" customFormat="false" ht="15" hidden="false" customHeight="false" outlineLevel="0" collapsed="false">
      <c r="A1044" s="17" t="n">
        <v>44153</v>
      </c>
      <c r="B1044" s="19" t="n">
        <v>-0.00417951234561864</v>
      </c>
    </row>
    <row r="1045" customFormat="false" ht="15" hidden="false" customHeight="false" outlineLevel="0" collapsed="false">
      <c r="A1045" s="17" t="n">
        <v>44154</v>
      </c>
      <c r="B1045" s="19" t="n">
        <v>0.00278788184251488</v>
      </c>
    </row>
    <row r="1046" customFormat="false" ht="15" hidden="false" customHeight="false" outlineLevel="0" collapsed="false">
      <c r="A1046" s="17" t="n">
        <v>44155</v>
      </c>
      <c r="B1046" s="19" t="n">
        <v>-0.000103807609935114</v>
      </c>
    </row>
    <row r="1047" customFormat="false" ht="15" hidden="false" customHeight="false" outlineLevel="0" collapsed="false">
      <c r="A1047" s="17" t="n">
        <v>44158</v>
      </c>
      <c r="B1047" s="19" t="n">
        <v>0.000573050749820503</v>
      </c>
    </row>
    <row r="1048" customFormat="false" ht="15" hidden="false" customHeight="false" outlineLevel="0" collapsed="false">
      <c r="A1048" s="17" t="n">
        <v>44159</v>
      </c>
      <c r="B1048" s="19" t="n">
        <v>0.00617573371559765</v>
      </c>
    </row>
    <row r="1049" customFormat="false" ht="15" hidden="false" customHeight="false" outlineLevel="0" collapsed="false">
      <c r="A1049" s="17" t="n">
        <v>44160</v>
      </c>
      <c r="B1049" s="19" t="n">
        <v>-0.000295201735119099</v>
      </c>
    </row>
    <row r="1050" customFormat="false" ht="15" hidden="false" customHeight="false" outlineLevel="0" collapsed="false">
      <c r="A1050" s="17" t="n">
        <v>44162</v>
      </c>
      <c r="B1050" s="19" t="n">
        <v>0.0020591941814927</v>
      </c>
    </row>
    <row r="1051" customFormat="false" ht="15" hidden="false" customHeight="false" outlineLevel="0" collapsed="false">
      <c r="A1051" s="17" t="n">
        <v>44165</v>
      </c>
      <c r="B1051" s="19" t="n">
        <v>-0.00532444210639771</v>
      </c>
    </row>
    <row r="1052" customFormat="false" ht="15" hidden="false" customHeight="false" outlineLevel="0" collapsed="false">
      <c r="A1052" s="17" t="n">
        <v>44166</v>
      </c>
      <c r="B1052" s="19" t="n">
        <v>0.00762291886204691</v>
      </c>
    </row>
    <row r="1053" customFormat="false" ht="15" hidden="false" customHeight="false" outlineLevel="0" collapsed="false">
      <c r="A1053" s="17" t="n">
        <v>44167</v>
      </c>
      <c r="B1053" s="19" t="n">
        <v>0.000290868811737566</v>
      </c>
    </row>
    <row r="1054" customFormat="false" ht="15" hidden="false" customHeight="false" outlineLevel="0" collapsed="false">
      <c r="A1054" s="17" t="n">
        <v>44168</v>
      </c>
      <c r="B1054" s="19" t="n">
        <v>0.00294395672343928</v>
      </c>
    </row>
    <row r="1055" customFormat="false" ht="15" hidden="false" customHeight="false" outlineLevel="0" collapsed="false">
      <c r="A1055" s="17" t="n">
        <v>44169</v>
      </c>
      <c r="B1055" s="19" t="n">
        <v>0.00373962710464038</v>
      </c>
    </row>
    <row r="1056" customFormat="false" ht="15" hidden="false" customHeight="false" outlineLevel="0" collapsed="false">
      <c r="A1056" s="17" t="n">
        <v>44172</v>
      </c>
      <c r="B1056" s="19" t="n">
        <v>-2.84623275388363E-005</v>
      </c>
    </row>
    <row r="1057" customFormat="false" ht="15" hidden="false" customHeight="false" outlineLevel="0" collapsed="false">
      <c r="A1057" s="17" t="n">
        <v>44173</v>
      </c>
      <c r="B1057" s="19" t="n">
        <v>0.00234975840608698</v>
      </c>
    </row>
    <row r="1058" customFormat="false" ht="15" hidden="false" customHeight="false" outlineLevel="0" collapsed="false">
      <c r="A1058" s="17" t="n">
        <v>44174</v>
      </c>
      <c r="B1058" s="19" t="n">
        <v>-0.00514413915205503</v>
      </c>
    </row>
    <row r="1059" customFormat="false" ht="15" hidden="false" customHeight="false" outlineLevel="0" collapsed="false">
      <c r="A1059" s="17" t="n">
        <v>44175</v>
      </c>
      <c r="B1059" s="19" t="n">
        <v>0.00230207774188407</v>
      </c>
    </row>
    <row r="1060" customFormat="false" ht="15" hidden="false" customHeight="false" outlineLevel="0" collapsed="false">
      <c r="A1060" s="17" t="n">
        <v>44176</v>
      </c>
      <c r="B1060" s="19" t="n">
        <v>-0.000733746928968104</v>
      </c>
    </row>
    <row r="1061" customFormat="false" ht="15" hidden="false" customHeight="false" outlineLevel="0" collapsed="false">
      <c r="A1061" s="17" t="n">
        <v>44179</v>
      </c>
      <c r="B1061" s="19" t="n">
        <v>-0.0017105306488675</v>
      </c>
    </row>
    <row r="1062" customFormat="false" ht="15" hidden="false" customHeight="false" outlineLevel="0" collapsed="false">
      <c r="A1062" s="17" t="n">
        <v>44180</v>
      </c>
      <c r="B1062" s="19" t="n">
        <v>0.00738337029411151</v>
      </c>
    </row>
    <row r="1063" customFormat="false" ht="15" hidden="false" customHeight="false" outlineLevel="0" collapsed="false">
      <c r="A1063" s="17" t="n">
        <v>44181</v>
      </c>
      <c r="B1063" s="19" t="n">
        <v>0.0011541025418409</v>
      </c>
    </row>
    <row r="1064" customFormat="false" ht="15" hidden="false" customHeight="false" outlineLevel="0" collapsed="false">
      <c r="A1064" s="17" t="n">
        <v>44182</v>
      </c>
      <c r="B1064" s="19" t="n">
        <v>0.00456152186769687</v>
      </c>
    </row>
    <row r="1065" customFormat="false" ht="15" hidden="false" customHeight="false" outlineLevel="0" collapsed="false">
      <c r="A1065" s="17" t="n">
        <v>44183</v>
      </c>
      <c r="B1065" s="19" t="n">
        <v>-0.00250732874121296</v>
      </c>
    </row>
    <row r="1066" customFormat="false" ht="15" hidden="false" customHeight="false" outlineLevel="0" collapsed="false">
      <c r="A1066" s="17" t="n">
        <v>44186</v>
      </c>
      <c r="B1066" s="19" t="n">
        <v>-0.0039037984239727</v>
      </c>
    </row>
    <row r="1067" customFormat="false" ht="15" hidden="false" customHeight="false" outlineLevel="0" collapsed="false">
      <c r="A1067" s="17" t="n">
        <v>44187</v>
      </c>
      <c r="B1067" s="19" t="n">
        <v>-0.000326969738686733</v>
      </c>
    </row>
    <row r="1068" customFormat="false" ht="15" hidden="false" customHeight="false" outlineLevel="0" collapsed="false">
      <c r="A1068" s="17" t="n">
        <v>44188</v>
      </c>
      <c r="B1068" s="19" t="n">
        <v>0.00263434867971424</v>
      </c>
    </row>
    <row r="1069" customFormat="false" ht="15" hidden="false" customHeight="false" outlineLevel="0" collapsed="false">
      <c r="A1069" s="17" t="n">
        <v>44189</v>
      </c>
      <c r="B1069" s="19" t="n">
        <v>0.0010596277661572</v>
      </c>
    </row>
    <row r="1070" customFormat="false" ht="15" hidden="false" customHeight="false" outlineLevel="0" collapsed="false">
      <c r="A1070" s="17" t="n">
        <v>44193</v>
      </c>
      <c r="B1070" s="19" t="n">
        <v>0.00250662922426237</v>
      </c>
    </row>
    <row r="1071" customFormat="false" ht="15" hidden="false" customHeight="false" outlineLevel="0" collapsed="false">
      <c r="A1071" s="17" t="n">
        <v>44194</v>
      </c>
      <c r="B1071" s="19" t="n">
        <v>0.000200559691397872</v>
      </c>
    </row>
    <row r="1072" customFormat="false" ht="15" hidden="false" customHeight="false" outlineLevel="0" collapsed="false">
      <c r="A1072" s="17" t="n">
        <v>44195</v>
      </c>
      <c r="B1072" s="19" t="n">
        <v>0.00268012707034271</v>
      </c>
    </row>
    <row r="1073" customFormat="false" ht="15" hidden="false" customHeight="false" outlineLevel="0" collapsed="false">
      <c r="A1073" s="17" t="n">
        <v>44196</v>
      </c>
      <c r="B1073" s="19" t="n">
        <v>0.00115563885395775</v>
      </c>
    </row>
    <row r="1074" customFormat="false" ht="15" hidden="false" customHeight="false" outlineLevel="0" collapsed="false">
      <c r="A1074" s="17" t="n">
        <v>44200</v>
      </c>
      <c r="B1074" s="19" t="n">
        <v>-0.00224732300380048</v>
      </c>
    </row>
    <row r="1075" customFormat="false" ht="15" hidden="false" customHeight="false" outlineLevel="0" collapsed="false">
      <c r="A1075" s="17" t="n">
        <v>44201</v>
      </c>
      <c r="B1075" s="19" t="n">
        <v>0.00507849167907537</v>
      </c>
    </row>
    <row r="1076" customFormat="false" ht="15" hidden="false" customHeight="false" outlineLevel="0" collapsed="false">
      <c r="A1076" s="17" t="n">
        <v>44202</v>
      </c>
      <c r="B1076" s="19" t="n">
        <v>0.000860266767274798</v>
      </c>
    </row>
    <row r="1077" customFormat="false" ht="15" hidden="false" customHeight="false" outlineLevel="0" collapsed="false">
      <c r="A1077" s="17" t="n">
        <v>44203</v>
      </c>
      <c r="B1077" s="19" t="n">
        <v>0.00466360120817266</v>
      </c>
    </row>
    <row r="1078" customFormat="false" ht="15" hidden="false" customHeight="false" outlineLevel="0" collapsed="false">
      <c r="A1078" s="17" t="n">
        <v>44204</v>
      </c>
      <c r="B1078" s="19" t="n">
        <v>0.00136994696092496</v>
      </c>
    </row>
    <row r="1079" customFormat="false" ht="15" hidden="false" customHeight="false" outlineLevel="0" collapsed="false">
      <c r="A1079" s="17" t="n">
        <v>44207</v>
      </c>
      <c r="B1079" s="19" t="n">
        <v>-0.00452975538400025</v>
      </c>
    </row>
    <row r="1080" customFormat="false" ht="15" hidden="false" customHeight="false" outlineLevel="0" collapsed="false">
      <c r="A1080" s="17" t="n">
        <v>44208</v>
      </c>
      <c r="B1080" s="19" t="n">
        <v>0.00298838928500267</v>
      </c>
    </row>
    <row r="1081" customFormat="false" ht="15" hidden="false" customHeight="false" outlineLevel="0" collapsed="false">
      <c r="A1081" s="17" t="n">
        <v>44209</v>
      </c>
      <c r="B1081" s="19" t="n">
        <v>0.0014377429305803</v>
      </c>
    </row>
    <row r="1082" customFormat="false" ht="15" hidden="false" customHeight="false" outlineLevel="0" collapsed="false">
      <c r="A1082" s="17" t="n">
        <v>44210</v>
      </c>
      <c r="B1082" s="19" t="n">
        <v>0.00097329259553014</v>
      </c>
    </row>
    <row r="1083" customFormat="false" ht="15" hidden="false" customHeight="false" outlineLevel="0" collapsed="false">
      <c r="A1083" s="17" t="n">
        <v>44211</v>
      </c>
      <c r="B1083" s="19" t="n">
        <v>-0.00538985978136553</v>
      </c>
    </row>
    <row r="1084" customFormat="false" ht="15" hidden="false" customHeight="false" outlineLevel="0" collapsed="false">
      <c r="A1084" s="17" t="n">
        <v>44215</v>
      </c>
      <c r="B1084" s="19" t="n">
        <v>0.00623023616350094</v>
      </c>
    </row>
    <row r="1085" customFormat="false" ht="15" hidden="false" customHeight="false" outlineLevel="0" collapsed="false">
      <c r="A1085" s="17" t="n">
        <v>44216</v>
      </c>
      <c r="B1085" s="19" t="n">
        <v>0.00765755014086866</v>
      </c>
    </row>
    <row r="1086" customFormat="false" ht="15" hidden="false" customHeight="false" outlineLevel="0" collapsed="false">
      <c r="A1086" s="17" t="n">
        <v>44217</v>
      </c>
      <c r="B1086" s="19" t="n">
        <v>-0.000800669422065692</v>
      </c>
    </row>
    <row r="1087" customFormat="false" ht="15" hidden="false" customHeight="false" outlineLevel="0" collapsed="false">
      <c r="A1087" s="17" t="n">
        <v>44218</v>
      </c>
      <c r="B1087" s="19" t="n">
        <v>-0.00251661932781133</v>
      </c>
    </row>
    <row r="1088" customFormat="false" ht="15" hidden="false" customHeight="false" outlineLevel="0" collapsed="false">
      <c r="A1088" s="17" t="n">
        <v>44221</v>
      </c>
      <c r="B1088" s="19" t="n">
        <v>0.00202654988256468</v>
      </c>
    </row>
    <row r="1089" customFormat="false" ht="15" hidden="false" customHeight="false" outlineLevel="0" collapsed="false">
      <c r="A1089" s="17" t="n">
        <v>44222</v>
      </c>
      <c r="B1089" s="19" t="n">
        <v>-0.00182053974510366</v>
      </c>
    </row>
    <row r="1090" customFormat="false" ht="15" hidden="false" customHeight="false" outlineLevel="0" collapsed="false">
      <c r="A1090" s="17" t="n">
        <v>44223</v>
      </c>
      <c r="B1090" s="19" t="n">
        <v>-0.0116666506039098</v>
      </c>
    </row>
    <row r="1091" customFormat="false" ht="15" hidden="false" customHeight="false" outlineLevel="0" collapsed="false">
      <c r="A1091" s="17" t="n">
        <v>44224</v>
      </c>
      <c r="B1091" s="19" t="n">
        <v>0.00380908722383189</v>
      </c>
    </row>
    <row r="1092" customFormat="false" ht="15" hidden="false" customHeight="false" outlineLevel="0" collapsed="false">
      <c r="A1092" s="17" t="n">
        <v>44225</v>
      </c>
      <c r="B1092" s="19" t="n">
        <v>-0.0095536472619292</v>
      </c>
    </row>
    <row r="1093" customFormat="false" ht="15" hidden="false" customHeight="false" outlineLevel="0" collapsed="false">
      <c r="A1093" s="17" t="n">
        <v>44228</v>
      </c>
      <c r="B1093" s="19" t="n">
        <v>0.0090276200912649</v>
      </c>
    </row>
    <row r="1094" customFormat="false" ht="15" hidden="false" customHeight="false" outlineLevel="0" collapsed="false">
      <c r="A1094" s="17" t="n">
        <v>44229</v>
      </c>
      <c r="B1094" s="19" t="n">
        <v>0.00553582701402133</v>
      </c>
    </row>
    <row r="1095" customFormat="false" ht="15" hidden="false" customHeight="false" outlineLevel="0" collapsed="false">
      <c r="A1095" s="17" t="n">
        <v>44230</v>
      </c>
      <c r="B1095" s="19" t="n">
        <v>-2.08080789647624E-005</v>
      </c>
    </row>
    <row r="1096" customFormat="false" ht="15" hidden="false" customHeight="false" outlineLevel="0" collapsed="false">
      <c r="A1096" s="17" t="n">
        <v>44231</v>
      </c>
      <c r="B1096" s="19" t="n">
        <v>0.00233919109636038</v>
      </c>
    </row>
    <row r="1097" customFormat="false" ht="15" hidden="false" customHeight="false" outlineLevel="0" collapsed="false">
      <c r="A1097" s="17" t="n">
        <v>44232</v>
      </c>
      <c r="B1097" s="19" t="n">
        <v>0.00342879168387467</v>
      </c>
    </row>
    <row r="1098" customFormat="false" ht="15" hidden="false" customHeight="false" outlineLevel="0" collapsed="false">
      <c r="A1098" s="17" t="n">
        <v>44235</v>
      </c>
      <c r="B1098" s="19" t="n">
        <v>0.00496978837215001</v>
      </c>
    </row>
    <row r="1099" customFormat="false" ht="15" hidden="false" customHeight="false" outlineLevel="0" collapsed="false">
      <c r="A1099" s="17" t="n">
        <v>44236</v>
      </c>
      <c r="B1099" s="19" t="n">
        <v>0.00176968562649504</v>
      </c>
    </row>
    <row r="1100" customFormat="false" ht="15" hidden="false" customHeight="false" outlineLevel="0" collapsed="false">
      <c r="A1100" s="17" t="n">
        <v>44237</v>
      </c>
      <c r="B1100" s="19" t="n">
        <v>0.000723904710523637</v>
      </c>
    </row>
    <row r="1101" customFormat="false" ht="15" hidden="false" customHeight="false" outlineLevel="0" collapsed="false">
      <c r="A1101" s="17" t="n">
        <v>44238</v>
      </c>
      <c r="B1101" s="19" t="n">
        <v>0.00117108443684466</v>
      </c>
    </row>
    <row r="1102" customFormat="false" ht="15" hidden="false" customHeight="false" outlineLevel="0" collapsed="false">
      <c r="A1102" s="17" t="n">
        <v>44239</v>
      </c>
      <c r="B1102" s="19" t="n">
        <v>0.00101253330282214</v>
      </c>
    </row>
    <row r="1103" customFormat="false" ht="15" hidden="false" customHeight="false" outlineLevel="0" collapsed="false">
      <c r="A1103" s="17" t="n">
        <v>44243</v>
      </c>
      <c r="B1103" s="19" t="n">
        <v>-0.00212145850933398</v>
      </c>
    </row>
    <row r="1104" customFormat="false" ht="15" hidden="false" customHeight="false" outlineLevel="0" collapsed="false">
      <c r="A1104" s="17" t="n">
        <v>44244</v>
      </c>
      <c r="B1104" s="19" t="n">
        <v>-0.00126816909838223</v>
      </c>
    </row>
    <row r="1105" customFormat="false" ht="15" hidden="false" customHeight="false" outlineLevel="0" collapsed="false">
      <c r="A1105" s="17" t="n">
        <v>44245</v>
      </c>
      <c r="B1105" s="19" t="n">
        <v>-0.00420072670891225</v>
      </c>
    </row>
    <row r="1106" customFormat="false" ht="15" hidden="false" customHeight="false" outlineLevel="0" collapsed="false">
      <c r="A1106" s="17" t="n">
        <v>44246</v>
      </c>
      <c r="B1106" s="19" t="n">
        <v>0.000776583718127721</v>
      </c>
    </row>
    <row r="1107" customFormat="false" ht="15" hidden="false" customHeight="false" outlineLevel="0" collapsed="false">
      <c r="A1107" s="17" t="n">
        <v>44249</v>
      </c>
      <c r="B1107" s="19" t="n">
        <v>-0.00409086348721921</v>
      </c>
    </row>
    <row r="1108" customFormat="false" ht="15" hidden="false" customHeight="false" outlineLevel="0" collapsed="false">
      <c r="A1108" s="17" t="n">
        <v>44250</v>
      </c>
      <c r="B1108" s="19" t="n">
        <v>0.000931227475211127</v>
      </c>
    </row>
    <row r="1109" customFormat="false" ht="15" hidden="false" customHeight="false" outlineLevel="0" collapsed="false">
      <c r="A1109" s="17" t="n">
        <v>44251</v>
      </c>
      <c r="B1109" s="19" t="n">
        <v>0.00259499207604175</v>
      </c>
    </row>
    <row r="1110" customFormat="false" ht="15" hidden="false" customHeight="false" outlineLevel="0" collapsed="false">
      <c r="A1110" s="17" t="n">
        <v>44252</v>
      </c>
      <c r="B1110" s="19" t="n">
        <v>-0.0155376426136734</v>
      </c>
    </row>
    <row r="1111" customFormat="false" ht="15" hidden="false" customHeight="false" outlineLevel="0" collapsed="false">
      <c r="A1111" s="17" t="n">
        <v>44253</v>
      </c>
      <c r="B1111" s="19" t="n">
        <v>-0.00273985666930421</v>
      </c>
    </row>
    <row r="1112" customFormat="false" ht="15" hidden="false" customHeight="false" outlineLevel="0" collapsed="false">
      <c r="A1112" s="17" t="n">
        <v>44256</v>
      </c>
      <c r="B1112" s="19" t="n">
        <v>0.0110605425785999</v>
      </c>
    </row>
    <row r="1113" customFormat="false" ht="15" hidden="false" customHeight="false" outlineLevel="0" collapsed="false">
      <c r="A1113" s="17" t="n">
        <v>44257</v>
      </c>
      <c r="B1113" s="19" t="n">
        <v>-0.00239201073336115</v>
      </c>
    </row>
    <row r="1114" customFormat="false" ht="15" hidden="false" customHeight="false" outlineLevel="0" collapsed="false">
      <c r="A1114" s="17" t="n">
        <v>44258</v>
      </c>
      <c r="B1114" s="19" t="n">
        <v>-0.00628773820749329</v>
      </c>
    </row>
    <row r="1115" customFormat="false" ht="15" hidden="false" customHeight="false" outlineLevel="0" collapsed="false">
      <c r="A1115" s="17" t="n">
        <v>44259</v>
      </c>
      <c r="B1115" s="19" t="n">
        <v>-0.00901793926140104</v>
      </c>
    </row>
    <row r="1116" customFormat="false" ht="15" hidden="false" customHeight="false" outlineLevel="0" collapsed="false">
      <c r="A1116" s="17" t="n">
        <v>44260</v>
      </c>
      <c r="B1116" s="19" t="n">
        <v>0.00703790545829652</v>
      </c>
    </row>
    <row r="1117" customFormat="false" ht="15" hidden="false" customHeight="false" outlineLevel="0" collapsed="false">
      <c r="A1117" s="17" t="n">
        <v>44263</v>
      </c>
      <c r="B1117" s="19" t="n">
        <v>-0.00542002202294512</v>
      </c>
    </row>
    <row r="1118" customFormat="false" ht="15" hidden="false" customHeight="false" outlineLevel="0" collapsed="false">
      <c r="A1118" s="17" t="n">
        <v>44264</v>
      </c>
      <c r="B1118" s="19" t="n">
        <v>0.0100058264256375</v>
      </c>
    </row>
    <row r="1119" customFormat="false" ht="15" hidden="false" customHeight="false" outlineLevel="0" collapsed="false">
      <c r="A1119" s="17" t="n">
        <v>44265</v>
      </c>
      <c r="B1119" s="19" t="n">
        <v>0.00498163484371683</v>
      </c>
    </row>
    <row r="1120" customFormat="false" ht="15" hidden="false" customHeight="false" outlineLevel="0" collapsed="false">
      <c r="A1120" s="17" t="n">
        <v>44266</v>
      </c>
      <c r="B1120" s="19" t="n">
        <v>0.00638498140066601</v>
      </c>
    </row>
    <row r="1121" customFormat="false" ht="15" hidden="false" customHeight="false" outlineLevel="0" collapsed="false">
      <c r="A1121" s="17" t="n">
        <v>44267</v>
      </c>
      <c r="B1121" s="19" t="n">
        <v>-0.00179875134511831</v>
      </c>
    </row>
    <row r="1122" customFormat="false" ht="15" hidden="false" customHeight="false" outlineLevel="0" collapsed="false">
      <c r="A1122" s="17" t="n">
        <v>44270</v>
      </c>
      <c r="B1122" s="19" t="n">
        <v>0.00437210142285482</v>
      </c>
    </row>
    <row r="1123" customFormat="false" ht="15" hidden="false" customHeight="false" outlineLevel="0" collapsed="false">
      <c r="A1123" s="17" t="n">
        <v>44271</v>
      </c>
      <c r="B1123" s="19" t="n">
        <v>-0.000732215975819184</v>
      </c>
    </row>
    <row r="1124" customFormat="false" ht="15" hidden="false" customHeight="false" outlineLevel="0" collapsed="false">
      <c r="A1124" s="17" t="n">
        <v>44272</v>
      </c>
      <c r="B1124" s="19" t="n">
        <v>0.00201591841942928</v>
      </c>
    </row>
    <row r="1125" customFormat="false" ht="15" hidden="false" customHeight="false" outlineLevel="0" collapsed="false">
      <c r="A1125" s="17" t="n">
        <v>44273</v>
      </c>
      <c r="B1125" s="19" t="n">
        <v>-0.0103325610671742</v>
      </c>
    </row>
    <row r="1126" customFormat="false" ht="15" hidden="false" customHeight="false" outlineLevel="0" collapsed="false">
      <c r="A1126" s="17" t="n">
        <v>44274</v>
      </c>
      <c r="B1126" s="19" t="n">
        <v>0.00154329808755427</v>
      </c>
    </row>
    <row r="1127" customFormat="false" ht="15" hidden="false" customHeight="false" outlineLevel="0" collapsed="false">
      <c r="A1127" s="17" t="n">
        <v>44277</v>
      </c>
      <c r="B1127" s="19" t="n">
        <v>0.0027353869990967</v>
      </c>
    </row>
    <row r="1128" customFormat="false" ht="15" hidden="false" customHeight="false" outlineLevel="0" collapsed="false">
      <c r="A1128" s="17" t="n">
        <v>44278</v>
      </c>
      <c r="B1128" s="19" t="n">
        <v>-0.00611485876843831</v>
      </c>
    </row>
    <row r="1129" customFormat="false" ht="15" hidden="false" customHeight="false" outlineLevel="0" collapsed="false">
      <c r="A1129" s="17" t="n">
        <v>44279</v>
      </c>
      <c r="B1129" s="19" t="n">
        <v>-0.00346351864545602</v>
      </c>
    </row>
    <row r="1130" customFormat="false" ht="15" hidden="false" customHeight="false" outlineLevel="0" collapsed="false">
      <c r="A1130" s="17" t="n">
        <v>44280</v>
      </c>
      <c r="B1130" s="19" t="n">
        <v>0.00259781846844942</v>
      </c>
    </row>
    <row r="1131" customFormat="false" ht="15" hidden="false" customHeight="false" outlineLevel="0" collapsed="false">
      <c r="A1131" s="17" t="n">
        <v>44281</v>
      </c>
      <c r="B1131" s="19" t="n">
        <v>0.00881373944083341</v>
      </c>
    </row>
    <row r="1132" customFormat="false" ht="15" hidden="false" customHeight="false" outlineLevel="0" collapsed="false">
      <c r="A1132" s="17" t="n">
        <v>44284</v>
      </c>
      <c r="B1132" s="19" t="n">
        <v>-0.00323642422924075</v>
      </c>
    </row>
    <row r="1133" customFormat="false" ht="15" hidden="false" customHeight="false" outlineLevel="0" collapsed="false">
      <c r="A1133" s="17" t="n">
        <v>44285</v>
      </c>
      <c r="B1133" s="19" t="n">
        <v>-0.000749189641184089</v>
      </c>
    </row>
    <row r="1134" customFormat="false" ht="15" hidden="false" customHeight="false" outlineLevel="0" collapsed="false">
      <c r="A1134" s="17" t="n">
        <v>44286</v>
      </c>
      <c r="B1134" s="19" t="n">
        <v>0.00334332390514103</v>
      </c>
    </row>
    <row r="1135" customFormat="false" ht="15" hidden="false" customHeight="false" outlineLevel="0" collapsed="false">
      <c r="A1135" s="17" t="n">
        <v>44287</v>
      </c>
      <c r="B1135" s="19" t="n">
        <v>0.00757542358185304</v>
      </c>
    </row>
    <row r="1136" customFormat="false" ht="15" hidden="false" customHeight="false" outlineLevel="0" collapsed="false">
      <c r="A1136" s="17" t="n">
        <v>44291</v>
      </c>
      <c r="B1136" s="19" t="n">
        <v>0.0040707668082629</v>
      </c>
    </row>
    <row r="1137" customFormat="false" ht="15" hidden="false" customHeight="false" outlineLevel="0" collapsed="false">
      <c r="A1137" s="17" t="n">
        <v>44292</v>
      </c>
      <c r="B1137" s="19" t="n">
        <v>0.00133420312979182</v>
      </c>
    </row>
    <row r="1138" customFormat="false" ht="15" hidden="false" customHeight="false" outlineLevel="0" collapsed="false">
      <c r="A1138" s="17" t="n">
        <v>44293</v>
      </c>
      <c r="B1138" s="19" t="n">
        <v>-0.00134103651138384</v>
      </c>
    </row>
    <row r="1139" customFormat="false" ht="15" hidden="false" customHeight="false" outlineLevel="0" collapsed="false">
      <c r="A1139" s="17" t="n">
        <v>44294</v>
      </c>
      <c r="B1139" s="19" t="n">
        <v>0.00394362650957825</v>
      </c>
    </row>
    <row r="1140" customFormat="false" ht="15" hidden="false" customHeight="false" outlineLevel="0" collapsed="false">
      <c r="A1140" s="17" t="n">
        <v>44295</v>
      </c>
      <c r="B1140" s="19" t="n">
        <v>6.96101793149495E-005</v>
      </c>
    </row>
    <row r="1141" customFormat="false" ht="15" hidden="false" customHeight="false" outlineLevel="0" collapsed="false">
      <c r="A1141" s="17" t="n">
        <v>44298</v>
      </c>
      <c r="B1141" s="19" t="n">
        <v>-0.00105247736439573</v>
      </c>
    </row>
    <row r="1142" customFormat="false" ht="15" hidden="false" customHeight="false" outlineLevel="0" collapsed="false">
      <c r="A1142" s="17" t="n">
        <v>44299</v>
      </c>
      <c r="B1142" s="19" t="n">
        <v>0.00290666220191871</v>
      </c>
    </row>
    <row r="1143" customFormat="false" ht="15" hidden="false" customHeight="false" outlineLevel="0" collapsed="false">
      <c r="A1143" s="17" t="n">
        <v>44300</v>
      </c>
      <c r="B1143" s="19" t="n">
        <v>-0.000919457631437748</v>
      </c>
    </row>
    <row r="1144" customFormat="false" ht="15" hidden="false" customHeight="false" outlineLevel="0" collapsed="false">
      <c r="A1144" s="17" t="n">
        <v>44301</v>
      </c>
      <c r="B1144" s="19" t="n">
        <v>0.00807369011389159</v>
      </c>
    </row>
    <row r="1145" customFormat="false" ht="15" hidden="false" customHeight="false" outlineLevel="0" collapsed="false">
      <c r="A1145" s="17" t="n">
        <v>44302</v>
      </c>
      <c r="B1145" s="19" t="n">
        <v>0.00112520727200161</v>
      </c>
    </row>
    <row r="1146" customFormat="false" ht="15" hidden="false" customHeight="false" outlineLevel="0" collapsed="false">
      <c r="A1146" s="17" t="n">
        <v>44305</v>
      </c>
      <c r="B1146" s="19" t="n">
        <v>-0.00215718438187651</v>
      </c>
    </row>
    <row r="1147" customFormat="false" ht="15" hidden="false" customHeight="false" outlineLevel="0" collapsed="false">
      <c r="A1147" s="17" t="n">
        <v>44306</v>
      </c>
      <c r="B1147" s="19" t="n">
        <v>-0.00373200708511701</v>
      </c>
    </row>
    <row r="1148" customFormat="false" ht="15" hidden="false" customHeight="false" outlineLevel="0" collapsed="false">
      <c r="A1148" s="17" t="n">
        <v>44307</v>
      </c>
      <c r="B1148" s="19" t="n">
        <v>0.00584926657533602</v>
      </c>
    </row>
    <row r="1149" customFormat="false" ht="15" hidden="false" customHeight="false" outlineLevel="0" collapsed="false">
      <c r="A1149" s="17" t="n">
        <v>44308</v>
      </c>
      <c r="B1149" s="19" t="n">
        <v>-0.00284242647442268</v>
      </c>
    </row>
    <row r="1150" customFormat="false" ht="15" hidden="false" customHeight="false" outlineLevel="0" collapsed="false">
      <c r="A1150" s="17" t="n">
        <v>44309</v>
      </c>
      <c r="B1150" s="19" t="n">
        <v>0.00486398933611043</v>
      </c>
    </row>
    <row r="1151" customFormat="false" ht="15" hidden="false" customHeight="false" outlineLevel="0" collapsed="false">
      <c r="A1151" s="17" t="n">
        <v>44312</v>
      </c>
      <c r="B1151" s="19" t="n">
        <v>0.00170056782436179</v>
      </c>
    </row>
    <row r="1152" customFormat="false" ht="15" hidden="false" customHeight="false" outlineLevel="0" collapsed="false">
      <c r="A1152" s="17" t="n">
        <v>44313</v>
      </c>
      <c r="B1152" s="19" t="n">
        <v>-0.00105541321413316</v>
      </c>
    </row>
    <row r="1153" customFormat="false" ht="15" hidden="false" customHeight="false" outlineLevel="0" collapsed="false">
      <c r="A1153" s="17" t="n">
        <v>44314</v>
      </c>
      <c r="B1153" s="19" t="n">
        <v>0.00235827688328572</v>
      </c>
    </row>
    <row r="1154" customFormat="false" ht="15" hidden="false" customHeight="false" outlineLevel="0" collapsed="false">
      <c r="A1154" s="17" t="n">
        <v>44315</v>
      </c>
      <c r="B1154" s="19" t="n">
        <v>0.000210682283341424</v>
      </c>
    </row>
    <row r="1155" customFormat="false" ht="15" hidden="false" customHeight="false" outlineLevel="0" collapsed="false">
      <c r="A1155" s="17" t="n">
        <v>44316</v>
      </c>
      <c r="B1155" s="19" t="n">
        <v>-0.00431624443985879</v>
      </c>
    </row>
    <row r="1156" customFormat="false" ht="15" hidden="false" customHeight="false" outlineLevel="0" collapsed="false">
      <c r="A1156" s="17" t="n">
        <v>44319</v>
      </c>
      <c r="B1156" s="19" t="n">
        <v>0.0029885608735778</v>
      </c>
    </row>
    <row r="1157" customFormat="false" ht="15" hidden="false" customHeight="false" outlineLevel="0" collapsed="false">
      <c r="A1157" s="17" t="n">
        <v>44320</v>
      </c>
      <c r="B1157" s="19" t="n">
        <v>-0.00410194911852591</v>
      </c>
    </row>
    <row r="1158" customFormat="false" ht="15" hidden="false" customHeight="false" outlineLevel="0" collapsed="false">
      <c r="A1158" s="17" t="n">
        <v>44321</v>
      </c>
      <c r="B1158" s="19" t="n">
        <v>0.00164793194098856</v>
      </c>
    </row>
    <row r="1159" customFormat="false" ht="15" hidden="false" customHeight="false" outlineLevel="0" collapsed="false">
      <c r="A1159" s="17" t="n">
        <v>44322</v>
      </c>
      <c r="B1159" s="19" t="n">
        <v>0.00414871201869071</v>
      </c>
    </row>
    <row r="1160" customFormat="false" ht="15" hidden="false" customHeight="false" outlineLevel="0" collapsed="false">
      <c r="A1160" s="17" t="n">
        <v>44323</v>
      </c>
      <c r="B1160" s="19" t="n">
        <v>0.00544541303862145</v>
      </c>
    </row>
    <row r="1161" customFormat="false" ht="15" hidden="false" customHeight="false" outlineLevel="0" collapsed="false">
      <c r="A1161" s="17" t="n">
        <v>44326</v>
      </c>
      <c r="B1161" s="19" t="n">
        <v>-0.00501527472683261</v>
      </c>
    </row>
    <row r="1162" customFormat="false" ht="15" hidden="false" customHeight="false" outlineLevel="0" collapsed="false">
      <c r="A1162" s="17" t="n">
        <v>44327</v>
      </c>
      <c r="B1162" s="19" t="n">
        <v>-0.00463803620338277</v>
      </c>
    </row>
    <row r="1163" customFormat="false" ht="15" hidden="false" customHeight="false" outlineLevel="0" collapsed="false">
      <c r="A1163" s="17" t="n">
        <v>44328</v>
      </c>
      <c r="B1163" s="19" t="n">
        <v>-0.0118840286817605</v>
      </c>
    </row>
    <row r="1164" customFormat="false" ht="15" hidden="false" customHeight="false" outlineLevel="0" collapsed="false">
      <c r="A1164" s="17" t="n">
        <v>44329</v>
      </c>
      <c r="B1164" s="19" t="n">
        <v>0.00480032883553827</v>
      </c>
    </row>
    <row r="1165" customFormat="false" ht="15" hidden="false" customHeight="false" outlineLevel="0" collapsed="false">
      <c r="A1165" s="17" t="n">
        <v>44330</v>
      </c>
      <c r="B1165" s="19" t="n">
        <v>0.00920693582250887</v>
      </c>
    </row>
    <row r="1166" customFormat="false" ht="15" hidden="false" customHeight="false" outlineLevel="0" collapsed="false">
      <c r="A1166" s="17" t="n">
        <v>44333</v>
      </c>
      <c r="B1166" s="19" t="n">
        <v>0.00139153482532861</v>
      </c>
    </row>
    <row r="1167" customFormat="false" ht="15" hidden="false" customHeight="false" outlineLevel="0" collapsed="false">
      <c r="A1167" s="17" t="n">
        <v>44334</v>
      </c>
      <c r="B1167" s="19" t="n">
        <v>-0.000943375405502267</v>
      </c>
    </row>
    <row r="1168" customFormat="false" ht="15" hidden="false" customHeight="false" outlineLevel="0" collapsed="false">
      <c r="A1168" s="17" t="n">
        <v>44335</v>
      </c>
      <c r="B1168" s="19" t="n">
        <v>-0.00303374207120399</v>
      </c>
    </row>
    <row r="1169" customFormat="false" ht="15" hidden="false" customHeight="false" outlineLevel="0" collapsed="false">
      <c r="A1169" s="17" t="n">
        <v>44336</v>
      </c>
      <c r="B1169" s="19" t="n">
        <v>0.0060062829033869</v>
      </c>
    </row>
    <row r="1170" customFormat="false" ht="15" hidden="false" customHeight="false" outlineLevel="0" collapsed="false">
      <c r="A1170" s="17" t="n">
        <v>44337</v>
      </c>
      <c r="B1170" s="19" t="n">
        <v>-0.00058278240229348</v>
      </c>
    </row>
    <row r="1171" customFormat="false" ht="15" hidden="false" customHeight="false" outlineLevel="0" collapsed="false">
      <c r="A1171" s="17" t="n">
        <v>44340</v>
      </c>
      <c r="B1171" s="19" t="n">
        <v>0.00509097153554117</v>
      </c>
    </row>
    <row r="1172" customFormat="false" ht="15" hidden="false" customHeight="false" outlineLevel="0" collapsed="false">
      <c r="A1172" s="17" t="n">
        <v>44341</v>
      </c>
      <c r="B1172" s="19" t="n">
        <v>0.00189769267267925</v>
      </c>
    </row>
    <row r="1173" customFormat="false" ht="15" hidden="false" customHeight="false" outlineLevel="0" collapsed="false">
      <c r="A1173" s="17" t="n">
        <v>44342</v>
      </c>
      <c r="B1173" s="19" t="n">
        <v>0.00134830320198054</v>
      </c>
    </row>
    <row r="1174" customFormat="false" ht="15" hidden="false" customHeight="false" outlineLevel="0" collapsed="false">
      <c r="A1174" s="17" t="n">
        <v>44343</v>
      </c>
      <c r="B1174" s="19" t="n">
        <v>0.000451848929717169</v>
      </c>
    </row>
    <row r="1175" customFormat="false" ht="15" hidden="false" customHeight="false" outlineLevel="0" collapsed="false">
      <c r="A1175" s="17" t="n">
        <v>44344</v>
      </c>
      <c r="B1175" s="19" t="n">
        <v>0.00138631448677296</v>
      </c>
    </row>
    <row r="1176" customFormat="false" ht="15" hidden="false" customHeight="false" outlineLevel="0" collapsed="false">
      <c r="A1176" s="17" t="n">
        <v>44348</v>
      </c>
      <c r="B1176" s="19" t="n">
        <v>0.00267759608770946</v>
      </c>
    </row>
    <row r="1177" customFormat="false" ht="15" hidden="false" customHeight="false" outlineLevel="0" collapsed="false">
      <c r="A1177" s="17" t="n">
        <v>44349</v>
      </c>
      <c r="B1177" s="19" t="n">
        <v>0.00205366643201921</v>
      </c>
    </row>
    <row r="1178" customFormat="false" ht="15" hidden="false" customHeight="false" outlineLevel="0" collapsed="false">
      <c r="A1178" s="17" t="n">
        <v>44350</v>
      </c>
      <c r="B1178" s="19" t="n">
        <v>-0.00501822982290245</v>
      </c>
    </row>
    <row r="1179" customFormat="false" ht="15" hidden="false" customHeight="false" outlineLevel="0" collapsed="false">
      <c r="A1179" s="17" t="n">
        <v>44351</v>
      </c>
      <c r="B1179" s="19" t="n">
        <v>0.00595422188447015</v>
      </c>
    </row>
    <row r="1180" customFormat="false" ht="15" hidden="false" customHeight="false" outlineLevel="0" collapsed="false">
      <c r="A1180" s="17" t="n">
        <v>44354</v>
      </c>
      <c r="B1180" s="19" t="n">
        <v>0.000545731485110057</v>
      </c>
    </row>
    <row r="1181" customFormat="false" ht="15" hidden="false" customHeight="false" outlineLevel="0" collapsed="false">
      <c r="A1181" s="17" t="n">
        <v>44355</v>
      </c>
      <c r="B1181" s="19" t="n">
        <v>0.000972284751189489</v>
      </c>
    </row>
    <row r="1182" customFormat="false" ht="15" hidden="false" customHeight="false" outlineLevel="0" collapsed="false">
      <c r="A1182" s="17" t="n">
        <v>44356</v>
      </c>
      <c r="B1182" s="19" t="n">
        <v>-0.00103484567095169</v>
      </c>
    </row>
    <row r="1183" customFormat="false" ht="15" hidden="false" customHeight="false" outlineLevel="0" collapsed="false">
      <c r="A1183" s="17" t="n">
        <v>44357</v>
      </c>
      <c r="B1183" s="19" t="n">
        <v>0.0037045588362512</v>
      </c>
    </row>
    <row r="1184" customFormat="false" ht="15" hidden="false" customHeight="false" outlineLevel="0" collapsed="false">
      <c r="A1184" s="17" t="n">
        <v>44358</v>
      </c>
      <c r="B1184" s="19" t="n">
        <v>-0.000454873558299429</v>
      </c>
    </row>
    <row r="1185" customFormat="false" ht="15" hidden="false" customHeight="false" outlineLevel="0" collapsed="false">
      <c r="A1185" s="17" t="n">
        <v>44361</v>
      </c>
      <c r="B1185" s="19" t="n">
        <v>-5.02765691442475E-005</v>
      </c>
    </row>
    <row r="1186" customFormat="false" ht="15" hidden="false" customHeight="false" outlineLevel="0" collapsed="false">
      <c r="A1186" s="17" t="n">
        <v>44362</v>
      </c>
      <c r="B1186" s="19" t="n">
        <v>-0.00162421742302266</v>
      </c>
    </row>
    <row r="1187" customFormat="false" ht="15" hidden="false" customHeight="false" outlineLevel="0" collapsed="false">
      <c r="A1187" s="17" t="n">
        <v>44363</v>
      </c>
      <c r="B1187" s="19" t="n">
        <v>-0.00612425102499636</v>
      </c>
    </row>
    <row r="1188" customFormat="false" ht="15" hidden="false" customHeight="false" outlineLevel="0" collapsed="false">
      <c r="A1188" s="17" t="n">
        <v>44364</v>
      </c>
      <c r="B1188" s="19" t="n">
        <v>-0.00161825731422183</v>
      </c>
    </row>
    <row r="1189" customFormat="false" ht="15" hidden="false" customHeight="false" outlineLevel="0" collapsed="false">
      <c r="A1189" s="17" t="n">
        <v>44365</v>
      </c>
      <c r="B1189" s="19" t="n">
        <v>-0.00564651593594745</v>
      </c>
    </row>
    <row r="1190" customFormat="false" ht="15" hidden="false" customHeight="false" outlineLevel="0" collapsed="false">
      <c r="A1190" s="17" t="n">
        <v>44368</v>
      </c>
      <c r="B1190" s="19" t="n">
        <v>0.00556525238286754</v>
      </c>
    </row>
    <row r="1191" customFormat="false" ht="15" hidden="false" customHeight="false" outlineLevel="0" collapsed="false">
      <c r="A1191" s="17" t="n">
        <v>44369</v>
      </c>
      <c r="B1191" s="19" t="n">
        <v>0.00191021172202732</v>
      </c>
    </row>
    <row r="1192" customFormat="false" ht="15" hidden="false" customHeight="false" outlineLevel="0" collapsed="false">
      <c r="A1192" s="17" t="n">
        <v>44370</v>
      </c>
      <c r="B1192" s="19" t="n">
        <v>-0.000489390862404515</v>
      </c>
    </row>
    <row r="1193" customFormat="false" ht="15" hidden="false" customHeight="false" outlineLevel="0" collapsed="false">
      <c r="A1193" s="17" t="n">
        <v>44371</v>
      </c>
      <c r="B1193" s="19" t="n">
        <v>0.00276122681453117</v>
      </c>
    </row>
    <row r="1194" customFormat="false" ht="15" hidden="false" customHeight="false" outlineLevel="0" collapsed="false">
      <c r="A1194" s="17" t="n">
        <v>44372</v>
      </c>
      <c r="B1194" s="19" t="n">
        <v>0.00188603638345342</v>
      </c>
    </row>
    <row r="1195" customFormat="false" ht="15" hidden="false" customHeight="false" outlineLevel="0" collapsed="false">
      <c r="A1195" s="17" t="n">
        <v>44375</v>
      </c>
      <c r="B1195" s="19" t="n">
        <v>0.000454044938990927</v>
      </c>
    </row>
    <row r="1196" customFormat="false" ht="15" hidden="false" customHeight="false" outlineLevel="0" collapsed="false">
      <c r="A1196" s="17" t="n">
        <v>44376</v>
      </c>
      <c r="B1196" s="19" t="n">
        <v>-0.000315837340642444</v>
      </c>
    </row>
    <row r="1197" customFormat="false" ht="15" hidden="false" customHeight="false" outlineLevel="0" collapsed="false">
      <c r="A1197" s="17" t="n">
        <v>44377</v>
      </c>
      <c r="B1197" s="19" t="n">
        <v>-0.000878188268143343</v>
      </c>
    </row>
    <row r="1198" customFormat="false" ht="15" hidden="false" customHeight="false" outlineLevel="0" collapsed="false">
      <c r="A1198" s="17" t="n">
        <v>44378</v>
      </c>
      <c r="B1198" s="19" t="n">
        <v>0.00212514009022025</v>
      </c>
    </row>
    <row r="1199" customFormat="false" ht="15" hidden="false" customHeight="false" outlineLevel="0" collapsed="false">
      <c r="A1199" s="17" t="n">
        <v>44379</v>
      </c>
      <c r="B1199" s="19" t="n">
        <v>0.00349389750716367</v>
      </c>
    </row>
    <row r="1200" customFormat="false" ht="15" hidden="false" customHeight="false" outlineLevel="0" collapsed="false">
      <c r="A1200" s="17" t="n">
        <v>44383</v>
      </c>
      <c r="B1200" s="19" t="n">
        <v>-0.000959941203650505</v>
      </c>
    </row>
    <row r="1201" customFormat="false" ht="15" hidden="false" customHeight="false" outlineLevel="0" collapsed="false">
      <c r="A1201" s="17" t="n">
        <v>44384</v>
      </c>
      <c r="B1201" s="19" t="n">
        <v>0.00153084666617276</v>
      </c>
    </row>
    <row r="1202" customFormat="false" ht="15" hidden="false" customHeight="false" outlineLevel="0" collapsed="false">
      <c r="A1202" s="17" t="n">
        <v>44385</v>
      </c>
      <c r="B1202" s="19" t="n">
        <v>-0.00507864202251762</v>
      </c>
    </row>
    <row r="1203" customFormat="false" ht="15" hidden="false" customHeight="false" outlineLevel="0" collapsed="false">
      <c r="A1203" s="17" t="n">
        <v>44386</v>
      </c>
      <c r="B1203" s="19" t="n">
        <v>0.00603411360263206</v>
      </c>
    </row>
    <row r="1204" customFormat="false" ht="15" hidden="false" customHeight="false" outlineLevel="0" collapsed="false">
      <c r="A1204" s="17" t="n">
        <v>44389</v>
      </c>
      <c r="B1204" s="19" t="n">
        <v>0.00131199244305802</v>
      </c>
    </row>
    <row r="1205" customFormat="false" ht="15" hidden="false" customHeight="false" outlineLevel="0" collapsed="false">
      <c r="A1205" s="17" t="n">
        <v>44390</v>
      </c>
      <c r="B1205" s="19" t="n">
        <v>-0.00331117022461136</v>
      </c>
    </row>
    <row r="1206" customFormat="false" ht="15" hidden="false" customHeight="false" outlineLevel="0" collapsed="false">
      <c r="A1206" s="17" t="n">
        <v>44391</v>
      </c>
      <c r="B1206" s="19" t="n">
        <v>0.00245948311385869</v>
      </c>
    </row>
    <row r="1207" customFormat="false" ht="15" hidden="false" customHeight="false" outlineLevel="0" collapsed="false">
      <c r="A1207" s="17" t="n">
        <v>44392</v>
      </c>
      <c r="B1207" s="19" t="n">
        <v>-0.000505017330594271</v>
      </c>
    </row>
    <row r="1208" customFormat="false" ht="15" hidden="false" customHeight="false" outlineLevel="0" collapsed="false">
      <c r="A1208" s="17" t="n">
        <v>44393</v>
      </c>
      <c r="B1208" s="19" t="n">
        <v>-0.00414978276588018</v>
      </c>
    </row>
    <row r="1209" customFormat="false" ht="15" hidden="false" customHeight="false" outlineLevel="0" collapsed="false">
      <c r="A1209" s="17" t="n">
        <v>44396</v>
      </c>
      <c r="B1209" s="19" t="n">
        <v>-0.00631749442119978</v>
      </c>
    </row>
    <row r="1210" customFormat="false" ht="15" hidden="false" customHeight="false" outlineLevel="0" collapsed="false">
      <c r="A1210" s="17" t="n">
        <v>44397</v>
      </c>
      <c r="B1210" s="19" t="n">
        <v>0.00577225214416055</v>
      </c>
    </row>
    <row r="1211" customFormat="false" ht="15" hidden="false" customHeight="false" outlineLevel="0" collapsed="false">
      <c r="A1211" s="17" t="n">
        <v>44398</v>
      </c>
      <c r="B1211" s="19" t="n">
        <v>0.00321342363194233</v>
      </c>
    </row>
    <row r="1212" customFormat="false" ht="15" hidden="false" customHeight="false" outlineLevel="0" collapsed="false">
      <c r="A1212" s="17" t="n">
        <v>44399</v>
      </c>
      <c r="B1212" s="19" t="n">
        <v>0.00119361657716999</v>
      </c>
    </row>
    <row r="1213" customFormat="false" ht="15" hidden="false" customHeight="false" outlineLevel="0" collapsed="false">
      <c r="A1213" s="17" t="n">
        <v>44400</v>
      </c>
      <c r="B1213" s="19" t="n">
        <v>0.00266077446221291</v>
      </c>
    </row>
    <row r="1214" customFormat="false" ht="15" hidden="false" customHeight="false" outlineLevel="0" collapsed="false">
      <c r="A1214" s="17" t="n">
        <v>44403</v>
      </c>
      <c r="B1214" s="19" t="n">
        <v>0.000643833699624175</v>
      </c>
    </row>
    <row r="1215" customFormat="false" ht="15" hidden="false" customHeight="false" outlineLevel="0" collapsed="false">
      <c r="A1215" s="17" t="n">
        <v>44404</v>
      </c>
      <c r="B1215" s="19" t="n">
        <v>-0.00159930197439107</v>
      </c>
    </row>
    <row r="1216" customFormat="false" ht="15" hidden="false" customHeight="false" outlineLevel="0" collapsed="false">
      <c r="A1216" s="17" t="n">
        <v>44405</v>
      </c>
      <c r="B1216" s="19" t="n">
        <v>0.00310726189408106</v>
      </c>
    </row>
    <row r="1217" customFormat="false" ht="15" hidden="false" customHeight="false" outlineLevel="0" collapsed="false">
      <c r="A1217" s="17" t="n">
        <v>44406</v>
      </c>
      <c r="B1217" s="19" t="n">
        <v>0.0022442789567596</v>
      </c>
    </row>
    <row r="1218" customFormat="false" ht="15" hidden="false" customHeight="false" outlineLevel="0" collapsed="false">
      <c r="A1218" s="17" t="n">
        <v>44407</v>
      </c>
      <c r="B1218" s="19" t="n">
        <v>-0.00229341842607622</v>
      </c>
    </row>
    <row r="1219" customFormat="false" ht="15" hidden="false" customHeight="false" outlineLevel="0" collapsed="false">
      <c r="A1219" s="17" t="n">
        <v>44410</v>
      </c>
      <c r="B1219" s="19" t="n">
        <v>0.00152735381755664</v>
      </c>
    </row>
    <row r="1220" customFormat="false" ht="15" hidden="false" customHeight="false" outlineLevel="0" collapsed="false">
      <c r="A1220" s="17" t="n">
        <v>44411</v>
      </c>
      <c r="B1220" s="19" t="n">
        <v>0.00313718146965614</v>
      </c>
    </row>
    <row r="1221" customFormat="false" ht="15" hidden="false" customHeight="false" outlineLevel="0" collapsed="false">
      <c r="A1221" s="17" t="n">
        <v>44412</v>
      </c>
      <c r="B1221" s="19" t="n">
        <v>-0.00198395838298171</v>
      </c>
    </row>
    <row r="1222" customFormat="false" ht="15" hidden="false" customHeight="false" outlineLevel="0" collapsed="false">
      <c r="A1222" s="17" t="n">
        <v>44413</v>
      </c>
      <c r="B1222" s="19" t="n">
        <v>0.00167379333823803</v>
      </c>
    </row>
    <row r="1223" customFormat="false" ht="15" hidden="false" customHeight="false" outlineLevel="0" collapsed="false">
      <c r="A1223" s="17" t="n">
        <v>44414</v>
      </c>
      <c r="B1223" s="19" t="n">
        <v>-0.00355852140760771</v>
      </c>
    </row>
    <row r="1224" customFormat="false" ht="15" hidden="false" customHeight="false" outlineLevel="0" collapsed="false">
      <c r="A1224" s="17" t="n">
        <v>44417</v>
      </c>
      <c r="B1224" s="19" t="n">
        <v>-0.00200371268728461</v>
      </c>
    </row>
    <row r="1225" customFormat="false" ht="15" hidden="false" customHeight="false" outlineLevel="0" collapsed="false">
      <c r="A1225" s="17" t="n">
        <v>44418</v>
      </c>
      <c r="B1225" s="19" t="n">
        <v>0.000606507552492586</v>
      </c>
    </row>
    <row r="1226" customFormat="false" ht="15" hidden="false" customHeight="false" outlineLevel="0" collapsed="false">
      <c r="A1226" s="17" t="n">
        <v>44419</v>
      </c>
      <c r="B1226" s="19" t="n">
        <v>0.00289701534500764</v>
      </c>
    </row>
    <row r="1227" customFormat="false" ht="15" hidden="false" customHeight="false" outlineLevel="0" collapsed="false">
      <c r="A1227" s="17" t="n">
        <v>44420</v>
      </c>
      <c r="B1227" s="19" t="n">
        <v>3.78134028446997E-005</v>
      </c>
    </row>
    <row r="1228" customFormat="false" ht="15" hidden="false" customHeight="false" outlineLevel="0" collapsed="false">
      <c r="A1228" s="17" t="n">
        <v>44421</v>
      </c>
      <c r="B1228" s="19" t="n">
        <v>0.00301921177880216</v>
      </c>
    </row>
    <row r="1229" customFormat="false" ht="15" hidden="false" customHeight="false" outlineLevel="0" collapsed="false">
      <c r="A1229" s="17" t="n">
        <v>44424</v>
      </c>
      <c r="B1229" s="19" t="n">
        <v>7.38764313217288E-005</v>
      </c>
    </row>
    <row r="1230" customFormat="false" ht="15" hidden="false" customHeight="false" outlineLevel="0" collapsed="false">
      <c r="A1230" s="17" t="n">
        <v>44425</v>
      </c>
      <c r="B1230" s="19" t="n">
        <v>-0.00417424909284636</v>
      </c>
    </row>
    <row r="1231" customFormat="false" ht="15" hidden="false" customHeight="false" outlineLevel="0" collapsed="false">
      <c r="A1231" s="17" t="n">
        <v>44426</v>
      </c>
      <c r="B1231" s="19" t="n">
        <v>-0.00366898636660085</v>
      </c>
    </row>
    <row r="1232" customFormat="false" ht="15" hidden="false" customHeight="false" outlineLevel="0" collapsed="false">
      <c r="A1232" s="17" t="n">
        <v>44427</v>
      </c>
      <c r="B1232" s="19" t="n">
        <v>-0.00185782308003668</v>
      </c>
    </row>
    <row r="1233" customFormat="false" ht="15" hidden="false" customHeight="false" outlineLevel="0" collapsed="false">
      <c r="A1233" s="17" t="n">
        <v>44428</v>
      </c>
      <c r="B1233" s="19" t="n">
        <v>0.00261742232267537</v>
      </c>
    </row>
    <row r="1234" customFormat="false" ht="15" hidden="false" customHeight="false" outlineLevel="0" collapsed="false">
      <c r="A1234" s="17" t="n">
        <v>44431</v>
      </c>
      <c r="B1234" s="19" t="n">
        <v>0.00542036597177198</v>
      </c>
    </row>
    <row r="1235" customFormat="false" ht="15" hidden="false" customHeight="false" outlineLevel="0" collapsed="false">
      <c r="A1235" s="17" t="n">
        <v>44432</v>
      </c>
      <c r="B1235" s="19" t="n">
        <v>0.00218070588079766</v>
      </c>
    </row>
    <row r="1236" customFormat="false" ht="15" hidden="false" customHeight="false" outlineLevel="0" collapsed="false">
      <c r="A1236" s="17" t="n">
        <v>44433</v>
      </c>
      <c r="B1236" s="19" t="n">
        <v>-0.000177792136635824</v>
      </c>
    </row>
    <row r="1237" customFormat="false" ht="15" hidden="false" customHeight="false" outlineLevel="0" collapsed="false">
      <c r="A1237" s="17" t="n">
        <v>44434</v>
      </c>
      <c r="B1237" s="19" t="n">
        <v>-0.00290917269427582</v>
      </c>
    </row>
    <row r="1238" customFormat="false" ht="15" hidden="false" customHeight="false" outlineLevel="0" collapsed="false">
      <c r="A1238" s="17" t="n">
        <v>44435</v>
      </c>
      <c r="B1238" s="19" t="n">
        <v>0.00763808692717483</v>
      </c>
    </row>
    <row r="1239" customFormat="false" ht="15" hidden="false" customHeight="false" outlineLevel="0" collapsed="false">
      <c r="A1239" s="17" t="n">
        <v>44438</v>
      </c>
      <c r="B1239" s="19" t="n">
        <v>0.001366540447586</v>
      </c>
    </row>
    <row r="1240" customFormat="false" ht="15" hidden="false" customHeight="false" outlineLevel="0" collapsed="false">
      <c r="A1240" s="17" t="n">
        <v>44439</v>
      </c>
      <c r="B1240" s="19" t="n">
        <v>0.000273590790911049</v>
      </c>
    </row>
    <row r="1241" customFormat="false" ht="15" hidden="false" customHeight="false" outlineLevel="0" collapsed="false">
      <c r="A1241" s="17" t="n">
        <v>44440</v>
      </c>
      <c r="B1241" s="19" t="n">
        <v>0.00275892788247267</v>
      </c>
    </row>
    <row r="1242" customFormat="false" ht="15" hidden="false" customHeight="false" outlineLevel="0" collapsed="false">
      <c r="A1242" s="17" t="n">
        <v>44441</v>
      </c>
      <c r="B1242" s="19" t="n">
        <v>0.00142433542337428</v>
      </c>
    </row>
    <row r="1243" customFormat="false" ht="15" hidden="false" customHeight="false" outlineLevel="0" collapsed="false">
      <c r="A1243" s="17" t="n">
        <v>44442</v>
      </c>
      <c r="B1243" s="19" t="n">
        <v>0.000815944238392152</v>
      </c>
    </row>
    <row r="1244" customFormat="false" ht="15" hidden="false" customHeight="false" outlineLevel="0" collapsed="false">
      <c r="A1244" s="17" t="n">
        <v>44446</v>
      </c>
      <c r="B1244" s="19" t="n">
        <v>-0.00336175004207096</v>
      </c>
    </row>
    <row r="1245" customFormat="false" ht="15" hidden="false" customHeight="false" outlineLevel="0" collapsed="false">
      <c r="A1245" s="17" t="n">
        <v>44447</v>
      </c>
      <c r="B1245" s="19" t="n">
        <v>-0.00123400655605843</v>
      </c>
    </row>
    <row r="1246" customFormat="false" ht="15" hidden="false" customHeight="false" outlineLevel="0" collapsed="false">
      <c r="A1246" s="17" t="n">
        <v>44448</v>
      </c>
      <c r="B1246" s="19" t="n">
        <v>0.000299940940501564</v>
      </c>
    </row>
    <row r="1247" customFormat="false" ht="15" hidden="false" customHeight="false" outlineLevel="0" collapsed="false">
      <c r="A1247" s="17" t="n">
        <v>44449</v>
      </c>
      <c r="B1247" s="19" t="n">
        <v>-0.00412447929997795</v>
      </c>
    </row>
    <row r="1248" customFormat="false" ht="15" hidden="false" customHeight="false" outlineLevel="0" collapsed="false">
      <c r="A1248" s="17" t="n">
        <v>44452</v>
      </c>
      <c r="B1248" s="19" t="n">
        <v>0.00200438965776217</v>
      </c>
    </row>
    <row r="1249" customFormat="false" ht="15" hidden="false" customHeight="false" outlineLevel="0" collapsed="false">
      <c r="A1249" s="17" t="n">
        <v>44453</v>
      </c>
      <c r="B1249" s="19" t="n">
        <v>-0.00144535000236212</v>
      </c>
    </row>
    <row r="1250" customFormat="false" ht="15" hidden="false" customHeight="false" outlineLevel="0" collapsed="false">
      <c r="A1250" s="17" t="n">
        <v>44454</v>
      </c>
      <c r="B1250" s="19" t="n">
        <v>0.00237606134180024</v>
      </c>
    </row>
    <row r="1251" customFormat="false" ht="15" hidden="false" customHeight="false" outlineLevel="0" collapsed="false">
      <c r="A1251" s="17" t="n">
        <v>44455</v>
      </c>
      <c r="B1251" s="19" t="n">
        <v>-0.00307696176759098</v>
      </c>
    </row>
    <row r="1252" customFormat="false" ht="15" hidden="false" customHeight="false" outlineLevel="0" collapsed="false">
      <c r="A1252" s="17" t="n">
        <v>44456</v>
      </c>
      <c r="B1252" s="19" t="n">
        <v>-0.00478886266748757</v>
      </c>
    </row>
    <row r="1253" customFormat="false" ht="15" hidden="false" customHeight="false" outlineLevel="0" collapsed="false">
      <c r="A1253" s="17" t="n">
        <v>44459</v>
      </c>
      <c r="B1253" s="19" t="n">
        <v>-0.00714461965769164</v>
      </c>
    </row>
    <row r="1254" customFormat="false" ht="15" hidden="false" customHeight="false" outlineLevel="0" collapsed="false">
      <c r="A1254" s="17" t="n">
        <v>44460</v>
      </c>
      <c r="B1254" s="19" t="n">
        <v>0.0011860733787803</v>
      </c>
    </row>
    <row r="1255" customFormat="false" ht="15" hidden="false" customHeight="false" outlineLevel="0" collapsed="false">
      <c r="A1255" s="17" t="n">
        <v>44461</v>
      </c>
      <c r="B1255" s="19" t="n">
        <v>0.00408427082318696</v>
      </c>
    </row>
    <row r="1256" customFormat="false" ht="15" hidden="false" customHeight="false" outlineLevel="0" collapsed="false">
      <c r="A1256" s="17" t="n">
        <v>44462</v>
      </c>
      <c r="B1256" s="19" t="n">
        <v>0.00220582136589886</v>
      </c>
    </row>
    <row r="1257" customFormat="false" ht="15" hidden="false" customHeight="false" outlineLevel="0" collapsed="false">
      <c r="A1257" s="17" t="n">
        <v>44463</v>
      </c>
      <c r="B1257" s="19" t="n">
        <v>-0.00239052570947207</v>
      </c>
    </row>
    <row r="1258" customFormat="false" ht="15" hidden="false" customHeight="false" outlineLevel="0" collapsed="false">
      <c r="A1258" s="17" t="n">
        <v>44466</v>
      </c>
      <c r="B1258" s="19" t="n">
        <v>-0.000578920532858795</v>
      </c>
    </row>
    <row r="1259" customFormat="false" ht="15" hidden="false" customHeight="false" outlineLevel="0" collapsed="false">
      <c r="A1259" s="17" t="n">
        <v>44467</v>
      </c>
      <c r="B1259" s="19" t="n">
        <v>-0.0106391574597574</v>
      </c>
    </row>
    <row r="1260" customFormat="false" ht="15" hidden="false" customHeight="false" outlineLevel="0" collapsed="false">
      <c r="A1260" s="17" t="n">
        <v>44468</v>
      </c>
      <c r="B1260" s="19" t="n">
        <v>-0.000646556203336757</v>
      </c>
    </row>
    <row r="1261" customFormat="false" ht="15" hidden="false" customHeight="false" outlineLevel="0" collapsed="false">
      <c r="A1261" s="17" t="n">
        <v>44469</v>
      </c>
      <c r="B1261" s="19" t="n">
        <v>-0.00171944151272852</v>
      </c>
    </row>
    <row r="1262" customFormat="false" ht="15" hidden="false" customHeight="false" outlineLevel="0" collapsed="false">
      <c r="A1262" s="17" t="n">
        <v>44470</v>
      </c>
      <c r="B1262" s="19" t="n">
        <v>0.00587634229793688</v>
      </c>
    </row>
    <row r="1263" customFormat="false" ht="15" hidden="false" customHeight="false" outlineLevel="0" collapsed="false">
      <c r="A1263" s="17" t="n">
        <v>44473</v>
      </c>
      <c r="B1263" s="19" t="n">
        <v>-0.0057049465201674</v>
      </c>
    </row>
    <row r="1264" customFormat="false" ht="15" hidden="false" customHeight="false" outlineLevel="0" collapsed="false">
      <c r="A1264" s="17" t="n">
        <v>44474</v>
      </c>
      <c r="B1264" s="19" t="n">
        <v>0.0031569292055107</v>
      </c>
    </row>
    <row r="1265" customFormat="false" ht="15" hidden="false" customHeight="false" outlineLevel="0" collapsed="false">
      <c r="A1265" s="17" t="n">
        <v>44475</v>
      </c>
      <c r="B1265" s="19" t="n">
        <v>0.000377486490177326</v>
      </c>
    </row>
    <row r="1266" customFormat="false" ht="15" hidden="false" customHeight="false" outlineLevel="0" collapsed="false">
      <c r="A1266" s="17" t="n">
        <v>44476</v>
      </c>
      <c r="B1266" s="19" t="n">
        <v>0.0033813192846659</v>
      </c>
    </row>
    <row r="1267" customFormat="false" ht="15" hidden="false" customHeight="false" outlineLevel="0" collapsed="false">
      <c r="A1267" s="17" t="n">
        <v>44477</v>
      </c>
      <c r="B1267" s="19" t="n">
        <v>-0.00108060935467791</v>
      </c>
    </row>
    <row r="1268" customFormat="false" ht="15" hidden="false" customHeight="false" outlineLevel="0" collapsed="false">
      <c r="A1268" s="17" t="n">
        <v>44480</v>
      </c>
      <c r="B1268" s="19" t="n">
        <v>-0.00329927543610387</v>
      </c>
    </row>
    <row r="1269" customFormat="false" ht="15" hidden="false" customHeight="false" outlineLevel="0" collapsed="false">
      <c r="A1269" s="17" t="n">
        <v>44481</v>
      </c>
      <c r="B1269" s="19" t="n">
        <v>0.00162964725864456</v>
      </c>
    </row>
    <row r="1270" customFormat="false" ht="15" hidden="false" customHeight="false" outlineLevel="0" collapsed="false">
      <c r="A1270" s="17" t="n">
        <v>44482</v>
      </c>
      <c r="B1270" s="19" t="n">
        <v>0.00590470588382419</v>
      </c>
    </row>
    <row r="1271" customFormat="false" ht="15" hidden="false" customHeight="false" outlineLevel="0" collapsed="false">
      <c r="A1271" s="17" t="n">
        <v>44483</v>
      </c>
      <c r="B1271" s="19" t="n">
        <v>0.00702111605439182</v>
      </c>
    </row>
    <row r="1272" customFormat="false" ht="15" hidden="false" customHeight="false" outlineLevel="0" collapsed="false">
      <c r="A1272" s="17" t="n">
        <v>44484</v>
      </c>
      <c r="B1272" s="19" t="n">
        <v>0.00123511918838459</v>
      </c>
    </row>
    <row r="1273" customFormat="false" ht="15" hidden="false" customHeight="false" outlineLevel="0" collapsed="false">
      <c r="A1273" s="17" t="n">
        <v>44487</v>
      </c>
      <c r="B1273" s="19" t="n">
        <v>0.00015264374171875</v>
      </c>
    </row>
    <row r="1274" customFormat="false" ht="15" hidden="false" customHeight="false" outlineLevel="0" collapsed="false">
      <c r="A1274" s="17" t="n">
        <v>44488</v>
      </c>
      <c r="B1274" s="19" t="n">
        <v>0.00237820335061434</v>
      </c>
    </row>
    <row r="1275" customFormat="false" ht="15" hidden="false" customHeight="false" outlineLevel="0" collapsed="false">
      <c r="A1275" s="17" t="n">
        <v>44489</v>
      </c>
      <c r="B1275" s="19" t="n">
        <v>0.00309459064498951</v>
      </c>
    </row>
    <row r="1276" customFormat="false" ht="15" hidden="false" customHeight="false" outlineLevel="0" collapsed="false">
      <c r="A1276" s="17" t="n">
        <v>44490</v>
      </c>
      <c r="B1276" s="19" t="n">
        <v>-0.000352138758698883</v>
      </c>
    </row>
    <row r="1277" customFormat="false" ht="15" hidden="false" customHeight="false" outlineLevel="0" collapsed="false">
      <c r="A1277" s="17" t="n">
        <v>44491</v>
      </c>
      <c r="B1277" s="19" t="n">
        <v>0.000995493883953813</v>
      </c>
    </row>
    <row r="1278" customFormat="false" ht="15" hidden="false" customHeight="false" outlineLevel="0" collapsed="false">
      <c r="A1278" s="17" t="n">
        <v>44494</v>
      </c>
      <c r="B1278" s="19" t="n">
        <v>0.00303566587239268</v>
      </c>
    </row>
    <row r="1279" customFormat="false" ht="15" hidden="false" customHeight="false" outlineLevel="0" collapsed="false">
      <c r="A1279" s="17" t="n">
        <v>44495</v>
      </c>
      <c r="B1279" s="19" t="n">
        <v>1.47606127551825E-005</v>
      </c>
    </row>
    <row r="1280" customFormat="false" ht="15" hidden="false" customHeight="false" outlineLevel="0" collapsed="false">
      <c r="A1280" s="17" t="n">
        <v>44496</v>
      </c>
      <c r="B1280" s="19" t="n">
        <v>-0.00177090023378379</v>
      </c>
    </row>
    <row r="1281" customFormat="false" ht="15" hidden="false" customHeight="false" outlineLevel="0" collapsed="false">
      <c r="A1281" s="17" t="n">
        <v>44497</v>
      </c>
      <c r="B1281" s="19" t="n">
        <v>0.00299285282648576</v>
      </c>
    </row>
    <row r="1282" customFormat="false" ht="15" hidden="false" customHeight="false" outlineLevel="0" collapsed="false">
      <c r="A1282" s="17" t="n">
        <v>44498</v>
      </c>
      <c r="B1282" s="19" t="n">
        <v>-0.00224979161830363</v>
      </c>
    </row>
    <row r="1283" customFormat="false" ht="15" hidden="false" customHeight="false" outlineLevel="0" collapsed="false">
      <c r="A1283" s="17" t="n">
        <v>44501</v>
      </c>
      <c r="B1283" s="19" t="n">
        <v>0.00289296120756899</v>
      </c>
    </row>
    <row r="1284" customFormat="false" ht="15" hidden="false" customHeight="false" outlineLevel="0" collapsed="false">
      <c r="A1284" s="17" t="n">
        <v>44502</v>
      </c>
      <c r="B1284" s="19" t="n">
        <v>0.00139561267404087</v>
      </c>
    </row>
    <row r="1285" customFormat="false" ht="15" hidden="false" customHeight="false" outlineLevel="0" collapsed="false">
      <c r="A1285" s="17" t="n">
        <v>44503</v>
      </c>
      <c r="B1285" s="19" t="n">
        <v>0.00179892907535528</v>
      </c>
    </row>
    <row r="1286" customFormat="false" ht="15" hidden="false" customHeight="false" outlineLevel="0" collapsed="false">
      <c r="A1286" s="17" t="n">
        <v>44504</v>
      </c>
      <c r="B1286" s="19" t="n">
        <v>0.00356835766151531</v>
      </c>
    </row>
    <row r="1287" customFormat="false" ht="15" hidden="false" customHeight="false" outlineLevel="0" collapsed="false">
      <c r="A1287" s="17" t="n">
        <v>44505</v>
      </c>
      <c r="B1287" s="19" t="n">
        <v>0.00378043025701036</v>
      </c>
    </row>
    <row r="1288" customFormat="false" ht="15" hidden="false" customHeight="false" outlineLevel="0" collapsed="false">
      <c r="A1288" s="17" t="n">
        <v>44508</v>
      </c>
      <c r="B1288" s="19" t="n">
        <v>0.0015239283456896</v>
      </c>
    </row>
    <row r="1289" customFormat="false" ht="15" hidden="false" customHeight="false" outlineLevel="0" collapsed="false">
      <c r="A1289" s="17" t="n">
        <v>44509</v>
      </c>
      <c r="B1289" s="19" t="n">
        <v>0.00024701856729803</v>
      </c>
    </row>
    <row r="1290" customFormat="false" ht="15" hidden="false" customHeight="false" outlineLevel="0" collapsed="false">
      <c r="A1290" s="17" t="n">
        <v>44510</v>
      </c>
      <c r="B1290" s="19" t="n">
        <v>-0.00509063954897415</v>
      </c>
    </row>
    <row r="1291" customFormat="false" ht="15" hidden="false" customHeight="false" outlineLevel="0" collapsed="false">
      <c r="A1291" s="17" t="n">
        <v>44511</v>
      </c>
      <c r="B1291" s="19" t="n">
        <v>0.00202046501415576</v>
      </c>
    </row>
    <row r="1292" customFormat="false" ht="15" hidden="false" customHeight="false" outlineLevel="0" collapsed="false">
      <c r="A1292" s="17" t="n">
        <v>44512</v>
      </c>
      <c r="B1292" s="19" t="n">
        <v>0.00301630196737457</v>
      </c>
    </row>
    <row r="1293" customFormat="false" ht="15" hidden="false" customHeight="false" outlineLevel="0" collapsed="false">
      <c r="A1293" s="17" t="n">
        <v>44515</v>
      </c>
      <c r="B1293" s="19" t="n">
        <v>-0.0010399324000836</v>
      </c>
    </row>
    <row r="1294" customFormat="false" ht="15" hidden="false" customHeight="false" outlineLevel="0" collapsed="false">
      <c r="A1294" s="17" t="n">
        <v>44516</v>
      </c>
      <c r="B1294" s="19" t="n">
        <v>0.000250595917243413</v>
      </c>
    </row>
    <row r="1295" customFormat="false" ht="15" hidden="false" customHeight="false" outlineLevel="0" collapsed="false">
      <c r="A1295" s="17" t="n">
        <v>44517</v>
      </c>
      <c r="B1295" s="19" t="n">
        <v>-0.000273777169034539</v>
      </c>
    </row>
    <row r="1296" customFormat="false" ht="15" hidden="false" customHeight="false" outlineLevel="0" collapsed="false">
      <c r="A1296" s="17" t="n">
        <v>44518</v>
      </c>
      <c r="B1296" s="19" t="n">
        <v>-8.42446254770701E-005</v>
      </c>
    </row>
    <row r="1297" customFormat="false" ht="15" hidden="false" customHeight="false" outlineLevel="0" collapsed="false">
      <c r="A1297" s="17" t="n">
        <v>44519</v>
      </c>
      <c r="B1297" s="19" t="n">
        <v>-0.00223029719890566</v>
      </c>
    </row>
    <row r="1298" customFormat="false" ht="15" hidden="false" customHeight="false" outlineLevel="0" collapsed="false">
      <c r="A1298" s="17" t="n">
        <v>44522</v>
      </c>
      <c r="B1298" s="19" t="n">
        <v>-0.0077949945190291</v>
      </c>
    </row>
    <row r="1299" customFormat="false" ht="15" hidden="false" customHeight="false" outlineLevel="0" collapsed="false">
      <c r="A1299" s="17" t="n">
        <v>44523</v>
      </c>
      <c r="B1299" s="19" t="n">
        <v>-0.00125111529981481</v>
      </c>
    </row>
    <row r="1300" customFormat="false" ht="15" hidden="false" customHeight="false" outlineLevel="0" collapsed="false">
      <c r="A1300" s="17" t="n">
        <v>44524</v>
      </c>
      <c r="B1300" s="19" t="n">
        <v>0.00179251728012853</v>
      </c>
    </row>
    <row r="1301" customFormat="false" ht="15" hidden="false" customHeight="false" outlineLevel="0" collapsed="false">
      <c r="A1301" s="17" t="n">
        <v>44526</v>
      </c>
      <c r="B1301" s="19" t="n">
        <v>-0.010332098687284</v>
      </c>
    </row>
    <row r="1302" customFormat="false" ht="15" hidden="false" customHeight="false" outlineLevel="0" collapsed="false">
      <c r="A1302" s="17" t="n">
        <v>44529</v>
      </c>
      <c r="B1302" s="19" t="n">
        <v>0.00234487167917408</v>
      </c>
    </row>
    <row r="1303" customFormat="false" ht="15" hidden="false" customHeight="false" outlineLevel="0" collapsed="false">
      <c r="A1303" s="17" t="n">
        <v>44530</v>
      </c>
      <c r="B1303" s="19" t="n">
        <v>-0.00657907620069831</v>
      </c>
    </row>
    <row r="1304" customFormat="false" ht="15" hidden="false" customHeight="false" outlineLevel="0" collapsed="false">
      <c r="A1304" s="17" t="n">
        <v>44531</v>
      </c>
      <c r="B1304" s="19" t="n">
        <v>-0.00468917471570418</v>
      </c>
    </row>
    <row r="1305" customFormat="false" ht="15" hidden="false" customHeight="false" outlineLevel="0" collapsed="false">
      <c r="A1305" s="17" t="n">
        <v>44532</v>
      </c>
      <c r="B1305" s="19" t="n">
        <v>0.00790237713149544</v>
      </c>
    </row>
    <row r="1306" customFormat="false" ht="15" hidden="false" customHeight="false" outlineLevel="0" collapsed="false">
      <c r="A1306" s="17" t="n">
        <v>44533</v>
      </c>
      <c r="B1306" s="19" t="n">
        <v>-0.00304330559546906</v>
      </c>
    </row>
    <row r="1307" customFormat="false" ht="15" hidden="false" customHeight="false" outlineLevel="0" collapsed="false">
      <c r="A1307" s="17" t="n">
        <v>44536</v>
      </c>
      <c r="B1307" s="19" t="n">
        <v>0.00609486822818561</v>
      </c>
    </row>
    <row r="1308" customFormat="false" ht="15" hidden="false" customHeight="false" outlineLevel="0" collapsed="false">
      <c r="A1308" s="17" t="n">
        <v>44537</v>
      </c>
      <c r="B1308" s="19" t="n">
        <v>0.00891289274402696</v>
      </c>
    </row>
    <row r="1309" customFormat="false" ht="15" hidden="false" customHeight="false" outlineLevel="0" collapsed="false">
      <c r="A1309" s="17" t="n">
        <v>44538</v>
      </c>
      <c r="B1309" s="19" t="n">
        <v>0.000331631113130948</v>
      </c>
    </row>
    <row r="1310" customFormat="false" ht="15" hidden="false" customHeight="false" outlineLevel="0" collapsed="false">
      <c r="A1310" s="17" t="n">
        <v>44539</v>
      </c>
      <c r="B1310" s="19" t="n">
        <v>-0.00580955896199153</v>
      </c>
    </row>
    <row r="1311" customFormat="false" ht="15" hidden="false" customHeight="false" outlineLevel="0" collapsed="false">
      <c r="A1311" s="17" t="n">
        <v>44540</v>
      </c>
      <c r="B1311" s="19" t="n">
        <v>0.0027078492533561</v>
      </c>
    </row>
    <row r="1312" customFormat="false" ht="15" hidden="false" customHeight="false" outlineLevel="0" collapsed="false">
      <c r="A1312" s="17" t="n">
        <v>44543</v>
      </c>
      <c r="B1312" s="19" t="n">
        <v>-0.002651806317159</v>
      </c>
    </row>
    <row r="1313" customFormat="false" ht="15" hidden="false" customHeight="false" outlineLevel="0" collapsed="false">
      <c r="A1313" s="17" t="n">
        <v>44544</v>
      </c>
      <c r="B1313" s="19" t="n">
        <v>-0.00409095057624553</v>
      </c>
    </row>
    <row r="1314" customFormat="false" ht="15" hidden="false" customHeight="false" outlineLevel="0" collapsed="false">
      <c r="A1314" s="17" t="n">
        <v>44545</v>
      </c>
      <c r="B1314" s="19" t="n">
        <v>0.00595657801524085</v>
      </c>
    </row>
    <row r="1315" customFormat="false" ht="15" hidden="false" customHeight="false" outlineLevel="0" collapsed="false">
      <c r="A1315" s="17" t="n">
        <v>44546</v>
      </c>
      <c r="B1315" s="19" t="n">
        <v>-0.000842344010882457</v>
      </c>
    </row>
    <row r="1316" customFormat="false" ht="15" hidden="false" customHeight="false" outlineLevel="0" collapsed="false">
      <c r="A1316" s="17" t="n">
        <v>44547</v>
      </c>
      <c r="B1316" s="19" t="n">
        <v>-0.00252696248099615</v>
      </c>
    </row>
    <row r="1317" customFormat="false" ht="15" hidden="false" customHeight="false" outlineLevel="0" collapsed="false">
      <c r="A1317" s="17" t="n">
        <v>44550</v>
      </c>
      <c r="B1317" s="19" t="n">
        <v>-0.0073576497825979</v>
      </c>
    </row>
    <row r="1318" customFormat="false" ht="15" hidden="false" customHeight="false" outlineLevel="0" collapsed="false">
      <c r="A1318" s="17" t="n">
        <v>44551</v>
      </c>
      <c r="B1318" s="19" t="n">
        <v>0.00793473483196139</v>
      </c>
    </row>
    <row r="1319" customFormat="false" ht="15" hidden="false" customHeight="false" outlineLevel="0" collapsed="false">
      <c r="A1319" s="17" t="n">
        <v>44552</v>
      </c>
      <c r="B1319" s="19" t="n">
        <v>0.00517460555273464</v>
      </c>
    </row>
    <row r="1320" customFormat="false" ht="15" hidden="false" customHeight="false" outlineLevel="0" collapsed="false">
      <c r="A1320" s="17" t="n">
        <v>44553</v>
      </c>
      <c r="B1320" s="19" t="n">
        <v>0.00231295820247834</v>
      </c>
    </row>
    <row r="1321" customFormat="false" ht="15" hidden="false" customHeight="false" outlineLevel="0" collapsed="false">
      <c r="A1321" s="17" t="n">
        <v>44557</v>
      </c>
      <c r="B1321" s="19" t="n">
        <v>0.00630861082173806</v>
      </c>
    </row>
    <row r="1322" customFormat="false" ht="15" hidden="false" customHeight="false" outlineLevel="0" collapsed="false">
      <c r="A1322" s="17" t="n">
        <v>44558</v>
      </c>
      <c r="B1322" s="19" t="n">
        <v>-0.00138593232974549</v>
      </c>
    </row>
    <row r="1323" customFormat="false" ht="15" hidden="false" customHeight="false" outlineLevel="0" collapsed="false">
      <c r="A1323" s="17" t="n">
        <v>44559</v>
      </c>
      <c r="B1323" s="19" t="n">
        <v>-0.000607364376786324</v>
      </c>
    </row>
    <row r="1324" customFormat="false" ht="15" hidden="false" customHeight="false" outlineLevel="0" collapsed="false">
      <c r="A1324" s="17" t="n">
        <v>44560</v>
      </c>
      <c r="B1324" s="19" t="n">
        <v>0.00186724430630303</v>
      </c>
    </row>
    <row r="1325" customFormat="false" ht="15" hidden="false" customHeight="false" outlineLevel="0" collapsed="false">
      <c r="A1325" s="17" t="n">
        <v>44561</v>
      </c>
      <c r="B1325" s="19" t="n">
        <v>-0.0010375962925232</v>
      </c>
    </row>
    <row r="1326" customFormat="false" ht="15" hidden="false" customHeight="false" outlineLevel="0" collapsed="false">
      <c r="A1326" s="17" t="n">
        <v>44564</v>
      </c>
      <c r="B1326" s="19" t="n">
        <v>-9.78041311303635E-005</v>
      </c>
    </row>
    <row r="1327" customFormat="false" ht="15" hidden="false" customHeight="false" outlineLevel="0" collapsed="false">
      <c r="A1327" s="17" t="n">
        <v>44565</v>
      </c>
      <c r="B1327" s="19" t="n">
        <v>-0.000690132100180652</v>
      </c>
    </row>
    <row r="1328" customFormat="false" ht="15" hidden="false" customHeight="false" outlineLevel="0" collapsed="false">
      <c r="A1328" s="17" t="n">
        <v>44566</v>
      </c>
      <c r="B1328" s="19" t="n">
        <v>-0.0101554566477478</v>
      </c>
    </row>
    <row r="1329" customFormat="false" ht="15" hidden="false" customHeight="false" outlineLevel="0" collapsed="false">
      <c r="A1329" s="17" t="n">
        <v>44567</v>
      </c>
      <c r="B1329" s="19" t="n">
        <v>-0.00188788500402992</v>
      </c>
    </row>
    <row r="1330" customFormat="false" ht="15" hidden="false" customHeight="false" outlineLevel="0" collapsed="false">
      <c r="A1330" s="17" t="n">
        <v>44568</v>
      </c>
      <c r="B1330" s="19" t="n">
        <v>-0.00103072551602323</v>
      </c>
    </row>
    <row r="1331" customFormat="false" ht="15" hidden="false" customHeight="false" outlineLevel="0" collapsed="false">
      <c r="A1331" s="17" t="n">
        <v>44571</v>
      </c>
      <c r="B1331" s="19" t="n">
        <v>-0.000822880518892344</v>
      </c>
    </row>
    <row r="1332" customFormat="false" ht="15" hidden="false" customHeight="false" outlineLevel="0" collapsed="false">
      <c r="A1332" s="17" t="n">
        <v>44572</v>
      </c>
      <c r="B1332" s="19" t="n">
        <v>0.00749371049856751</v>
      </c>
    </row>
    <row r="1333" customFormat="false" ht="15" hidden="false" customHeight="false" outlineLevel="0" collapsed="false">
      <c r="A1333" s="17" t="n">
        <v>44573</v>
      </c>
      <c r="B1333" s="19" t="n">
        <v>0.00188928386476928</v>
      </c>
    </row>
    <row r="1334" customFormat="false" ht="15" hidden="false" customHeight="false" outlineLevel="0" collapsed="false">
      <c r="A1334" s="17" t="n">
        <v>44574</v>
      </c>
      <c r="B1334" s="19" t="n">
        <v>-0.00469210367029305</v>
      </c>
    </row>
    <row r="1335" customFormat="false" ht="15" hidden="false" customHeight="false" outlineLevel="0" collapsed="false">
      <c r="A1335" s="17" t="n">
        <v>44575</v>
      </c>
      <c r="B1335" s="19" t="n">
        <v>-0.00227087899173062</v>
      </c>
    </row>
    <row r="1336" customFormat="false" ht="15" hidden="false" customHeight="false" outlineLevel="0" collapsed="false">
      <c r="A1336" s="17" t="n">
        <v>44579</v>
      </c>
      <c r="B1336" s="19" t="n">
        <v>-0.00978629075626147</v>
      </c>
    </row>
    <row r="1337" customFormat="false" ht="15" hidden="false" customHeight="false" outlineLevel="0" collapsed="false">
      <c r="A1337" s="17" t="n">
        <v>44580</v>
      </c>
      <c r="B1337" s="19" t="n">
        <v>-0.000895478301838337</v>
      </c>
    </row>
    <row r="1338" customFormat="false" ht="15" hidden="false" customHeight="false" outlineLevel="0" collapsed="false">
      <c r="A1338" s="17" t="n">
        <v>44581</v>
      </c>
      <c r="B1338" s="19" t="n">
        <v>-0.00326815543006376</v>
      </c>
    </row>
    <row r="1339" customFormat="false" ht="15" hidden="false" customHeight="false" outlineLevel="0" collapsed="false">
      <c r="A1339" s="17" t="n">
        <v>44582</v>
      </c>
      <c r="B1339" s="19" t="n">
        <v>-0.00626103929407074</v>
      </c>
    </row>
    <row r="1340" customFormat="false" ht="15" hidden="false" customHeight="false" outlineLevel="0" collapsed="false">
      <c r="A1340" s="17" t="n">
        <v>44585</v>
      </c>
      <c r="B1340" s="19" t="n">
        <v>-0.000985180623835014</v>
      </c>
    </row>
    <row r="1341" customFormat="false" ht="15" hidden="false" customHeight="false" outlineLevel="0" collapsed="false">
      <c r="A1341" s="17" t="n">
        <v>44586</v>
      </c>
      <c r="B1341" s="19" t="n">
        <v>-0.00366014446256968</v>
      </c>
    </row>
    <row r="1342" customFormat="false" ht="15" hidden="false" customHeight="false" outlineLevel="0" collapsed="false">
      <c r="A1342" s="17" t="n">
        <v>44587</v>
      </c>
      <c r="B1342" s="19" t="n">
        <v>-0.00546579574933936</v>
      </c>
    </row>
    <row r="1343" customFormat="false" ht="15" hidden="false" customHeight="false" outlineLevel="0" collapsed="false">
      <c r="A1343" s="17" t="n">
        <v>44588</v>
      </c>
      <c r="B1343" s="19" t="n">
        <v>-0.00296310990022219</v>
      </c>
    </row>
    <row r="1344" customFormat="false" ht="15" hidden="false" customHeight="false" outlineLevel="0" collapsed="false">
      <c r="A1344" s="17" t="n">
        <v>44589</v>
      </c>
      <c r="B1344" s="19" t="n">
        <v>0.00845680603467702</v>
      </c>
    </row>
    <row r="1345" customFormat="false" ht="15" hidden="false" customHeight="false" outlineLevel="0" collapsed="false">
      <c r="A1345" s="17" t="n">
        <v>44592</v>
      </c>
      <c r="B1345" s="19" t="n">
        <v>0.0100312674516878</v>
      </c>
    </row>
    <row r="1346" customFormat="false" ht="15" hidden="false" customHeight="false" outlineLevel="0" collapsed="false">
      <c r="A1346" s="17" t="n">
        <v>44593</v>
      </c>
      <c r="B1346" s="19" t="n">
        <v>0.00202440182829244</v>
      </c>
    </row>
    <row r="1347" customFormat="false" ht="15" hidden="false" customHeight="false" outlineLevel="0" collapsed="false">
      <c r="A1347" s="17" t="n">
        <v>44594</v>
      </c>
      <c r="B1347" s="19" t="n">
        <v>0.00303646728466811</v>
      </c>
    </row>
    <row r="1348" customFormat="false" ht="15" hidden="false" customHeight="false" outlineLevel="0" collapsed="false">
      <c r="A1348" s="17" t="n">
        <v>44595</v>
      </c>
      <c r="B1348" s="19" t="n">
        <v>-0.0105716613210168</v>
      </c>
    </row>
    <row r="1349" customFormat="false" ht="15" hidden="false" customHeight="false" outlineLevel="0" collapsed="false">
      <c r="A1349" s="17" t="n">
        <v>44596</v>
      </c>
      <c r="B1349" s="19" t="n">
        <v>-0.000283169299101327</v>
      </c>
    </row>
    <row r="1350" customFormat="false" ht="15" hidden="false" customHeight="false" outlineLevel="0" collapsed="false">
      <c r="A1350" s="17" t="n">
        <v>44599</v>
      </c>
      <c r="B1350" s="19" t="n">
        <v>0.000501187393670444</v>
      </c>
    </row>
    <row r="1351" customFormat="false" ht="15" hidden="false" customHeight="false" outlineLevel="0" collapsed="false">
      <c r="A1351" s="17" t="n">
        <v>44600</v>
      </c>
      <c r="B1351" s="19" t="n">
        <v>0.00223484552838715</v>
      </c>
    </row>
    <row r="1352" customFormat="false" ht="15" hidden="false" customHeight="false" outlineLevel="0" collapsed="false">
      <c r="A1352" s="17" t="n">
        <v>44601</v>
      </c>
      <c r="B1352" s="19" t="n">
        <v>0.0082986804192724</v>
      </c>
    </row>
    <row r="1353" customFormat="false" ht="15" hidden="false" customHeight="false" outlineLevel="0" collapsed="false">
      <c r="A1353" s="17" t="n">
        <v>44602</v>
      </c>
      <c r="B1353" s="19" t="n">
        <v>-0.00990785160069563</v>
      </c>
    </row>
    <row r="1354" customFormat="false" ht="15" hidden="false" customHeight="false" outlineLevel="0" collapsed="false">
      <c r="A1354" s="17" t="n">
        <v>44603</v>
      </c>
      <c r="B1354" s="19" t="n">
        <v>-0.00336649828544378</v>
      </c>
    </row>
    <row r="1355" customFormat="false" ht="15" hidden="false" customHeight="false" outlineLevel="0" collapsed="false">
      <c r="A1355" s="17" t="n">
        <v>44606</v>
      </c>
      <c r="B1355" s="19" t="n">
        <v>-0.00361759265491735</v>
      </c>
    </row>
    <row r="1356" customFormat="false" ht="15" hidden="false" customHeight="false" outlineLevel="0" collapsed="false">
      <c r="A1356" s="17" t="n">
        <v>44607</v>
      </c>
      <c r="B1356" s="19" t="n">
        <v>0.00650714831965016</v>
      </c>
    </row>
    <row r="1357" customFormat="false" ht="15" hidden="false" customHeight="false" outlineLevel="0" collapsed="false">
      <c r="A1357" s="17" t="n">
        <v>44608</v>
      </c>
      <c r="B1357" s="19" t="n">
        <v>0.0036208541300442</v>
      </c>
    </row>
    <row r="1358" customFormat="false" ht="15" hidden="false" customHeight="false" outlineLevel="0" collapsed="false">
      <c r="A1358" s="17" t="n">
        <v>44609</v>
      </c>
      <c r="B1358" s="19" t="n">
        <v>-0.007581245112387</v>
      </c>
    </row>
    <row r="1359" customFormat="false" ht="15" hidden="false" customHeight="false" outlineLevel="0" collapsed="false">
      <c r="A1359" s="17" t="n">
        <v>44610</v>
      </c>
      <c r="B1359" s="19" t="n">
        <v>-0.0024748352812517</v>
      </c>
    </row>
    <row r="1360" customFormat="false" ht="15" hidden="false" customHeight="false" outlineLevel="0" collapsed="false">
      <c r="A1360" s="17" t="n">
        <v>44614</v>
      </c>
      <c r="B1360" s="19" t="n">
        <v>-0.0045516208164379</v>
      </c>
    </row>
    <row r="1361" customFormat="false" ht="15" hidden="false" customHeight="false" outlineLevel="0" collapsed="false">
      <c r="A1361" s="17" t="n">
        <v>44615</v>
      </c>
      <c r="B1361" s="19" t="n">
        <v>-0.00714739018875588</v>
      </c>
    </row>
    <row r="1362" customFormat="false" ht="15" hidden="false" customHeight="false" outlineLevel="0" collapsed="false">
      <c r="A1362" s="17" t="n">
        <v>44616</v>
      </c>
      <c r="B1362" s="19" t="n">
        <v>0.00268179010711878</v>
      </c>
    </row>
    <row r="1363" customFormat="false" ht="15" hidden="false" customHeight="false" outlineLevel="0" collapsed="false">
      <c r="A1363" s="17" t="n">
        <v>44617</v>
      </c>
      <c r="B1363" s="19" t="n">
        <v>0.0103559817807499</v>
      </c>
    </row>
    <row r="1364" customFormat="false" ht="15" hidden="false" customHeight="false" outlineLevel="0" collapsed="false">
      <c r="A1364" s="17" t="n">
        <v>44620</v>
      </c>
      <c r="B1364" s="19" t="n">
        <v>0.00314957350530842</v>
      </c>
    </row>
    <row r="1365" customFormat="false" ht="15" hidden="false" customHeight="false" outlineLevel="0" collapsed="false">
      <c r="A1365" s="17" t="n">
        <v>44621</v>
      </c>
      <c r="B1365" s="19" t="n">
        <v>-0.00202515754637556</v>
      </c>
    </row>
    <row r="1366" customFormat="false" ht="15" hidden="false" customHeight="false" outlineLevel="0" collapsed="false">
      <c r="A1366" s="17" t="n">
        <v>44622</v>
      </c>
      <c r="B1366" s="19" t="n">
        <v>0.00268155609442067</v>
      </c>
    </row>
    <row r="1367" customFormat="false" ht="15" hidden="false" customHeight="false" outlineLevel="0" collapsed="false">
      <c r="A1367" s="17" t="n">
        <v>44623</v>
      </c>
      <c r="B1367" s="19" t="n">
        <v>-0.00249727947536227</v>
      </c>
    </row>
    <row r="1368" customFormat="false" ht="15" hidden="false" customHeight="false" outlineLevel="0" collapsed="false">
      <c r="A1368" s="17" t="n">
        <v>44624</v>
      </c>
      <c r="B1368" s="19" t="n">
        <v>-0.0030655571210586</v>
      </c>
    </row>
    <row r="1369" customFormat="false" ht="15" hidden="false" customHeight="false" outlineLevel="0" collapsed="false">
      <c r="A1369" s="17" t="n">
        <v>44627</v>
      </c>
      <c r="B1369" s="19" t="n">
        <v>-0.0118149100342874</v>
      </c>
    </row>
    <row r="1370" customFormat="false" ht="15" hidden="false" customHeight="false" outlineLevel="0" collapsed="false">
      <c r="A1370" s="17" t="n">
        <v>44628</v>
      </c>
      <c r="B1370" s="19" t="n">
        <v>0.00129759514243433</v>
      </c>
    </row>
    <row r="1371" customFormat="false" ht="15" hidden="false" customHeight="false" outlineLevel="0" collapsed="false">
      <c r="A1371" s="17" t="n">
        <v>44629</v>
      </c>
      <c r="B1371" s="19" t="n">
        <v>0.00734823554961994</v>
      </c>
    </row>
    <row r="1372" customFormat="false" ht="15" hidden="false" customHeight="false" outlineLevel="0" collapsed="false">
      <c r="A1372" s="17" t="n">
        <v>44630</v>
      </c>
      <c r="B1372" s="19" t="n">
        <v>-0.00436870296690761</v>
      </c>
    </row>
    <row r="1373" customFormat="false" ht="15" hidden="false" customHeight="false" outlineLevel="0" collapsed="false">
      <c r="A1373" s="17" t="n">
        <v>44631</v>
      </c>
      <c r="B1373" s="19" t="n">
        <v>-0.0056378816036321</v>
      </c>
    </row>
    <row r="1374" customFormat="false" ht="15" hidden="false" customHeight="false" outlineLevel="0" collapsed="false">
      <c r="A1374" s="17" t="n">
        <v>44634</v>
      </c>
      <c r="B1374" s="19" t="n">
        <v>-0.00835214416956509</v>
      </c>
    </row>
    <row r="1375" customFormat="false" ht="15" hidden="false" customHeight="false" outlineLevel="0" collapsed="false">
      <c r="A1375" s="17" t="n">
        <v>44635</v>
      </c>
      <c r="B1375" s="19" t="n">
        <v>0.00413797712999897</v>
      </c>
    </row>
    <row r="1376" customFormat="false" ht="15" hidden="false" customHeight="false" outlineLevel="0" collapsed="false">
      <c r="A1376" s="17" t="n">
        <v>44636</v>
      </c>
      <c r="B1376" s="19" t="n">
        <v>0.0153590558904475</v>
      </c>
    </row>
    <row r="1377" customFormat="false" ht="15" hidden="false" customHeight="false" outlineLevel="0" collapsed="false">
      <c r="A1377" s="17" t="n">
        <v>44637</v>
      </c>
      <c r="B1377" s="19" t="n">
        <v>0.00597766695534996</v>
      </c>
    </row>
    <row r="1378" customFormat="false" ht="15" hidden="false" customHeight="false" outlineLevel="0" collapsed="false">
      <c r="A1378" s="17" t="n">
        <v>44638</v>
      </c>
      <c r="B1378" s="19" t="n">
        <v>0.00401137731877199</v>
      </c>
    </row>
    <row r="1379" customFormat="false" ht="15" hidden="false" customHeight="false" outlineLevel="0" collapsed="false">
      <c r="A1379" s="17" t="n">
        <v>44641</v>
      </c>
      <c r="B1379" s="19" t="n">
        <v>-0.00419998003915212</v>
      </c>
    </row>
    <row r="1380" customFormat="false" ht="15" hidden="false" customHeight="false" outlineLevel="0" collapsed="false">
      <c r="A1380" s="17" t="n">
        <v>44642</v>
      </c>
      <c r="B1380" s="19" t="n">
        <v>0.00350625783046366</v>
      </c>
    </row>
    <row r="1381" customFormat="false" ht="15" hidden="false" customHeight="false" outlineLevel="0" collapsed="false">
      <c r="A1381" s="17" t="n">
        <v>44643</v>
      </c>
      <c r="B1381" s="19" t="n">
        <v>-0.00193198201092559</v>
      </c>
    </row>
    <row r="1382" customFormat="false" ht="15" hidden="false" customHeight="false" outlineLevel="0" collapsed="false">
      <c r="A1382" s="17" t="n">
        <v>44644</v>
      </c>
      <c r="B1382" s="19" t="n">
        <v>0.00526694402009453</v>
      </c>
    </row>
    <row r="1383" customFormat="false" ht="15" hidden="false" customHeight="false" outlineLevel="0" collapsed="false">
      <c r="A1383" s="17" t="n">
        <v>44645</v>
      </c>
      <c r="B1383" s="19" t="n">
        <v>-0.00186788287370943</v>
      </c>
    </row>
    <row r="1384" customFormat="false" ht="15" hidden="false" customHeight="false" outlineLevel="0" collapsed="false">
      <c r="A1384" s="17" t="n">
        <v>44648</v>
      </c>
      <c r="B1384" s="19" t="n">
        <v>0.00124860570633412</v>
      </c>
    </row>
    <row r="1385" customFormat="false" ht="15" hidden="false" customHeight="false" outlineLevel="0" collapsed="false">
      <c r="A1385" s="17" t="n">
        <v>44649</v>
      </c>
      <c r="B1385" s="19" t="n">
        <v>0.00887151471499159</v>
      </c>
    </row>
    <row r="1386" customFormat="false" ht="15" hidden="false" customHeight="false" outlineLevel="0" collapsed="false">
      <c r="A1386" s="17" t="n">
        <v>44650</v>
      </c>
      <c r="B1386" s="19" t="n">
        <v>-0.00170725122839155</v>
      </c>
    </row>
    <row r="1387" customFormat="false" ht="15" hidden="false" customHeight="false" outlineLevel="0" collapsed="false">
      <c r="A1387" s="17" t="n">
        <v>44651</v>
      </c>
      <c r="B1387" s="19" t="n">
        <v>-0.0070316824405412</v>
      </c>
    </row>
    <row r="1388" customFormat="false" ht="15" hidden="false" customHeight="false" outlineLevel="0" collapsed="false">
      <c r="A1388" s="17" t="n">
        <v>44652</v>
      </c>
      <c r="B1388" s="19" t="n">
        <v>0.0020100213933123</v>
      </c>
    </row>
    <row r="1389" customFormat="false" ht="15" hidden="false" customHeight="false" outlineLevel="0" collapsed="false">
      <c r="A1389" s="17" t="n">
        <v>44655</v>
      </c>
      <c r="B1389" s="19" t="n">
        <v>0.00435166218603245</v>
      </c>
    </row>
    <row r="1390" customFormat="false" ht="15" hidden="false" customHeight="false" outlineLevel="0" collapsed="false">
      <c r="A1390" s="17" t="n">
        <v>44656</v>
      </c>
      <c r="B1390" s="19" t="n">
        <v>-0.0100936951422528</v>
      </c>
    </row>
    <row r="1391" customFormat="false" ht="15" hidden="false" customHeight="false" outlineLevel="0" collapsed="false">
      <c r="A1391" s="17" t="n">
        <v>44657</v>
      </c>
      <c r="B1391" s="19" t="n">
        <v>-0.005261646448117</v>
      </c>
    </row>
    <row r="1392" customFormat="false" ht="15" hidden="false" customHeight="false" outlineLevel="0" collapsed="false">
      <c r="A1392" s="17" t="n">
        <v>44658</v>
      </c>
      <c r="B1392" s="19" t="n">
        <v>0.000229856438670462</v>
      </c>
    </row>
    <row r="1393" customFormat="false" ht="15" hidden="false" customHeight="false" outlineLevel="0" collapsed="false">
      <c r="A1393" s="17" t="n">
        <v>44659</v>
      </c>
      <c r="B1393" s="19" t="n">
        <v>-0.00115153249170363</v>
      </c>
    </row>
    <row r="1394" customFormat="false" ht="15" hidden="false" customHeight="false" outlineLevel="0" collapsed="false">
      <c r="A1394" s="17" t="n">
        <v>44662</v>
      </c>
      <c r="B1394" s="19" t="n">
        <v>-0.00606529057896132</v>
      </c>
    </row>
    <row r="1395" customFormat="false" ht="15" hidden="false" customHeight="false" outlineLevel="0" collapsed="false">
      <c r="A1395" s="17" t="n">
        <v>44663</v>
      </c>
      <c r="B1395" s="19" t="n">
        <v>-0.000358972319168704</v>
      </c>
    </row>
    <row r="1396" customFormat="false" ht="15" hidden="false" customHeight="false" outlineLevel="0" collapsed="false">
      <c r="A1396" s="17" t="n">
        <v>44664</v>
      </c>
      <c r="B1396" s="19" t="n">
        <v>0.00554014651703416</v>
      </c>
    </row>
    <row r="1397" customFormat="false" ht="15" hidden="false" customHeight="false" outlineLevel="0" collapsed="false">
      <c r="A1397" s="17" t="n">
        <v>44665</v>
      </c>
      <c r="B1397" s="19" t="n">
        <v>-0.00651502959497019</v>
      </c>
    </row>
    <row r="1398" customFormat="false" ht="15" hidden="false" customHeight="false" outlineLevel="0" collapsed="false">
      <c r="A1398" s="17" t="n">
        <v>44669</v>
      </c>
      <c r="B1398" s="19" t="n">
        <v>-0.00110215354957122</v>
      </c>
    </row>
    <row r="1399" customFormat="false" ht="15" hidden="false" customHeight="false" outlineLevel="0" collapsed="false">
      <c r="A1399" s="17" t="n">
        <v>44670</v>
      </c>
      <c r="B1399" s="19" t="n">
        <v>0.00138170420991979</v>
      </c>
    </row>
    <row r="1400" customFormat="false" ht="15" hidden="false" customHeight="false" outlineLevel="0" collapsed="false">
      <c r="A1400" s="17" t="n">
        <v>44671</v>
      </c>
      <c r="B1400" s="19" t="n">
        <v>0.00374430552700411</v>
      </c>
    </row>
    <row r="1401" customFormat="false" ht="15" hidden="false" customHeight="false" outlineLevel="0" collapsed="false">
      <c r="A1401" s="17" t="n">
        <v>44672</v>
      </c>
      <c r="B1401" s="19" t="n">
        <v>-0.00835083071778264</v>
      </c>
    </row>
    <row r="1402" customFormat="false" ht="15" hidden="false" customHeight="false" outlineLevel="0" collapsed="false">
      <c r="A1402" s="17" t="n">
        <v>44673</v>
      </c>
      <c r="B1402" s="19" t="n">
        <v>-0.0109431193881656</v>
      </c>
    </row>
    <row r="1403" customFormat="false" ht="15" hidden="false" customHeight="false" outlineLevel="0" collapsed="false">
      <c r="A1403" s="17" t="n">
        <v>44676</v>
      </c>
      <c r="B1403" s="19" t="n">
        <v>0.000537831763735674</v>
      </c>
    </row>
    <row r="1404" customFormat="false" ht="15" hidden="false" customHeight="false" outlineLevel="0" collapsed="false">
      <c r="A1404" s="17" t="n">
        <v>44677</v>
      </c>
      <c r="B1404" s="19" t="n">
        <v>-0.0108567820026091</v>
      </c>
    </row>
    <row r="1405" customFormat="false" ht="15" hidden="false" customHeight="false" outlineLevel="0" collapsed="false">
      <c r="A1405" s="17" t="n">
        <v>44678</v>
      </c>
      <c r="B1405" s="19" t="n">
        <v>0.000737697641019386</v>
      </c>
    </row>
    <row r="1406" customFormat="false" ht="15" hidden="false" customHeight="false" outlineLevel="0" collapsed="false">
      <c r="A1406" s="17" t="n">
        <v>44679</v>
      </c>
      <c r="B1406" s="19" t="n">
        <v>0.0100961787248184</v>
      </c>
    </row>
    <row r="1407" customFormat="false" ht="15" hidden="false" customHeight="false" outlineLevel="0" collapsed="false">
      <c r="A1407" s="17" t="n">
        <v>44680</v>
      </c>
      <c r="B1407" s="19" t="n">
        <v>-0.0145450410661514</v>
      </c>
    </row>
    <row r="1408" customFormat="false" ht="15" hidden="false" customHeight="false" outlineLevel="0" collapsed="false">
      <c r="A1408" s="17" t="n">
        <v>44683</v>
      </c>
      <c r="B1408" s="19" t="n">
        <v>-0.00348924399777562</v>
      </c>
    </row>
    <row r="1409" customFormat="false" ht="15" hidden="false" customHeight="false" outlineLevel="0" collapsed="false">
      <c r="A1409" s="17" t="n">
        <v>44684</v>
      </c>
      <c r="B1409" s="19" t="n">
        <v>0.00349301734571039</v>
      </c>
    </row>
    <row r="1410" customFormat="false" ht="15" hidden="false" customHeight="false" outlineLevel="0" collapsed="false">
      <c r="A1410" s="17" t="n">
        <v>44685</v>
      </c>
      <c r="B1410" s="19" t="n">
        <v>0.013030086337702</v>
      </c>
    </row>
    <row r="1411" customFormat="false" ht="15" hidden="false" customHeight="false" outlineLevel="0" collapsed="false">
      <c r="A1411" s="17" t="n">
        <v>44686</v>
      </c>
      <c r="B1411" s="19" t="n">
        <v>-0.0193409566628349</v>
      </c>
    </row>
    <row r="1412" customFormat="false" ht="15" hidden="false" customHeight="false" outlineLevel="0" collapsed="false">
      <c r="A1412" s="17" t="n">
        <v>44687</v>
      </c>
      <c r="B1412" s="19" t="n">
        <v>-0.00493785407022729</v>
      </c>
    </row>
    <row r="1413" customFormat="false" ht="15" hidden="false" customHeight="false" outlineLevel="0" collapsed="false">
      <c r="A1413" s="17" t="n">
        <v>44690</v>
      </c>
      <c r="B1413" s="19" t="n">
        <v>-0.0148220198026677</v>
      </c>
    </row>
    <row r="1414" customFormat="false" ht="15" hidden="false" customHeight="false" outlineLevel="0" collapsed="false">
      <c r="A1414" s="17" t="n">
        <v>44691</v>
      </c>
      <c r="B1414" s="19" t="n">
        <v>-0.000779231655817059</v>
      </c>
    </row>
    <row r="1415" customFormat="false" ht="15" hidden="false" customHeight="false" outlineLevel="0" collapsed="false">
      <c r="A1415" s="17" t="n">
        <v>44692</v>
      </c>
      <c r="B1415" s="19" t="n">
        <v>-0.00332328574132312</v>
      </c>
    </row>
    <row r="1416" customFormat="false" ht="15" hidden="false" customHeight="false" outlineLevel="0" collapsed="false">
      <c r="A1416" s="17" t="n">
        <v>44693</v>
      </c>
      <c r="B1416" s="19" t="n">
        <v>-0.00369694312261071</v>
      </c>
    </row>
    <row r="1417" customFormat="false" ht="15" hidden="false" customHeight="false" outlineLevel="0" collapsed="false">
      <c r="A1417" s="17" t="n">
        <v>44694</v>
      </c>
      <c r="B1417" s="19" t="n">
        <v>0.0114041566047844</v>
      </c>
    </row>
    <row r="1418" customFormat="false" ht="15" hidden="false" customHeight="false" outlineLevel="0" collapsed="false">
      <c r="A1418" s="17" t="n">
        <v>44697</v>
      </c>
      <c r="B1418" s="19" t="n">
        <v>-0.000883085501021896</v>
      </c>
    </row>
    <row r="1419" customFormat="false" ht="15" hidden="false" customHeight="false" outlineLevel="0" collapsed="false">
      <c r="A1419" s="17" t="n">
        <v>44698</v>
      </c>
      <c r="B1419" s="19" t="n">
        <v>0.0057548591862151</v>
      </c>
    </row>
    <row r="1420" customFormat="false" ht="15" hidden="false" customHeight="false" outlineLevel="0" collapsed="false">
      <c r="A1420" s="17" t="n">
        <v>44699</v>
      </c>
      <c r="B1420" s="19" t="n">
        <v>-0.0122206758563233</v>
      </c>
    </row>
    <row r="1421" customFormat="false" ht="15" hidden="false" customHeight="false" outlineLevel="0" collapsed="false">
      <c r="A1421" s="17" t="n">
        <v>44700</v>
      </c>
      <c r="B1421" s="19" t="n">
        <v>0.0014518512928845</v>
      </c>
    </row>
    <row r="1422" customFormat="false" ht="15" hidden="false" customHeight="false" outlineLevel="0" collapsed="false">
      <c r="A1422" s="17" t="n">
        <v>44701</v>
      </c>
      <c r="B1422" s="19" t="n">
        <v>0.00152839536093596</v>
      </c>
    </row>
    <row r="1423" customFormat="false" ht="15" hidden="false" customHeight="false" outlineLevel="0" collapsed="false">
      <c r="A1423" s="17" t="n">
        <v>44704</v>
      </c>
      <c r="B1423" s="19" t="n">
        <v>0.00439877501194386</v>
      </c>
    </row>
    <row r="1424" customFormat="false" ht="15" hidden="false" customHeight="false" outlineLevel="0" collapsed="false">
      <c r="A1424" s="17" t="n">
        <v>44705</v>
      </c>
      <c r="B1424" s="19" t="n">
        <v>-0.00056897590499605</v>
      </c>
    </row>
    <row r="1425" customFormat="false" ht="15" hidden="false" customHeight="false" outlineLevel="0" collapsed="false">
      <c r="A1425" s="17" t="n">
        <v>44706</v>
      </c>
      <c r="B1425" s="19" t="n">
        <v>0.00536144161581142</v>
      </c>
    </row>
    <row r="1426" customFormat="false" ht="15" hidden="false" customHeight="false" outlineLevel="0" collapsed="false">
      <c r="A1426" s="17" t="n">
        <v>44707</v>
      </c>
      <c r="B1426" s="19" t="n">
        <v>0.00672182053990156</v>
      </c>
    </row>
    <row r="1427" customFormat="false" ht="15" hidden="false" customHeight="false" outlineLevel="0" collapsed="false">
      <c r="A1427" s="17" t="n">
        <v>44708</v>
      </c>
      <c r="B1427" s="19" t="n">
        <v>0.0100409043590424</v>
      </c>
    </row>
    <row r="1428" customFormat="false" ht="15" hidden="false" customHeight="false" outlineLevel="0" collapsed="false">
      <c r="A1428" s="17" t="n">
        <v>44712</v>
      </c>
      <c r="B1428" s="19" t="n">
        <v>-0.00416718238320024</v>
      </c>
    </row>
    <row r="1429" customFormat="false" ht="15" hidden="false" customHeight="false" outlineLevel="0" collapsed="false">
      <c r="A1429" s="17" t="n">
        <v>44713</v>
      </c>
      <c r="B1429" s="19" t="n">
        <v>-0.00507483931159758</v>
      </c>
    </row>
    <row r="1430" customFormat="false" ht="15" hidden="false" customHeight="false" outlineLevel="0" collapsed="false">
      <c r="A1430" s="17" t="n">
        <v>44714</v>
      </c>
      <c r="B1430" s="19" t="n">
        <v>0.0100984163299689</v>
      </c>
    </row>
    <row r="1431" customFormat="false" ht="15" hidden="false" customHeight="false" outlineLevel="0" collapsed="false">
      <c r="A1431" s="17" t="n">
        <v>44715</v>
      </c>
      <c r="B1431" s="19" t="n">
        <v>-0.00722681137608683</v>
      </c>
    </row>
    <row r="1432" customFormat="false" ht="15" hidden="false" customHeight="false" outlineLevel="0" collapsed="false">
      <c r="A1432" s="17" t="n">
        <v>44718</v>
      </c>
      <c r="B1432" s="19" t="n">
        <v>-0.00133128348765088</v>
      </c>
    </row>
    <row r="1433" customFormat="false" ht="15" hidden="false" customHeight="false" outlineLevel="0" collapsed="false">
      <c r="A1433" s="17" t="n">
        <v>44719</v>
      </c>
      <c r="B1433" s="19" t="n">
        <v>0.00522311872129899</v>
      </c>
    </row>
    <row r="1434" customFormat="false" ht="15" hidden="false" customHeight="false" outlineLevel="0" collapsed="false">
      <c r="A1434" s="17" t="n">
        <v>44720</v>
      </c>
      <c r="B1434" s="19" t="n">
        <v>-0.00652969091500366</v>
      </c>
    </row>
    <row r="1435" customFormat="false" ht="15" hidden="false" customHeight="false" outlineLevel="0" collapsed="false">
      <c r="A1435" s="17" t="n">
        <v>44721</v>
      </c>
      <c r="B1435" s="19" t="n">
        <v>-0.0107231005612833</v>
      </c>
    </row>
    <row r="1436" customFormat="false" ht="15" hidden="false" customHeight="false" outlineLevel="0" collapsed="false">
      <c r="A1436" s="17" t="n">
        <v>44722</v>
      </c>
      <c r="B1436" s="19" t="n">
        <v>-0.0121227355966936</v>
      </c>
    </row>
    <row r="1437" customFormat="false" ht="15" hidden="false" customHeight="false" outlineLevel="0" collapsed="false">
      <c r="A1437" s="17" t="n">
        <v>44725</v>
      </c>
      <c r="B1437" s="19" t="n">
        <v>-0.0253662699736486</v>
      </c>
    </row>
    <row r="1438" customFormat="false" ht="15" hidden="false" customHeight="false" outlineLevel="0" collapsed="false">
      <c r="A1438" s="17" t="n">
        <v>44726</v>
      </c>
      <c r="B1438" s="19" t="n">
        <v>-0.00464121002604667</v>
      </c>
    </row>
    <row r="1439" customFormat="false" ht="15" hidden="false" customHeight="false" outlineLevel="0" collapsed="false">
      <c r="A1439" s="17" t="n">
        <v>44727</v>
      </c>
      <c r="B1439" s="19" t="n">
        <v>0.0125961775378654</v>
      </c>
    </row>
    <row r="1440" customFormat="false" ht="15" hidden="false" customHeight="false" outlineLevel="0" collapsed="false">
      <c r="A1440" s="17" t="n">
        <v>44728</v>
      </c>
      <c r="B1440" s="19" t="n">
        <v>-0.0124572497205497</v>
      </c>
    </row>
    <row r="1441" customFormat="false" ht="15" hidden="false" customHeight="false" outlineLevel="0" collapsed="false">
      <c r="A1441" s="17" t="n">
        <v>44729</v>
      </c>
      <c r="B1441" s="19" t="n">
        <v>0.000112109802404392</v>
      </c>
    </row>
    <row r="1442" customFormat="false" ht="15" hidden="false" customHeight="false" outlineLevel="0" collapsed="false">
      <c r="A1442" s="17" t="n">
        <v>44733</v>
      </c>
      <c r="B1442" s="19" t="n">
        <v>0.0059567925545394</v>
      </c>
    </row>
    <row r="1443" customFormat="false" ht="15" hidden="false" customHeight="false" outlineLevel="0" collapsed="false">
      <c r="A1443" s="17" t="n">
        <v>44734</v>
      </c>
      <c r="B1443" s="19" t="n">
        <v>0.00081863079850053</v>
      </c>
    </row>
    <row r="1444" customFormat="false" ht="15" hidden="false" customHeight="false" outlineLevel="0" collapsed="false">
      <c r="A1444" s="17" t="n">
        <v>44735</v>
      </c>
      <c r="B1444" s="19" t="n">
        <v>0.00285946479002086</v>
      </c>
    </row>
    <row r="1445" customFormat="false" ht="15" hidden="false" customHeight="false" outlineLevel="0" collapsed="false">
      <c r="A1445" s="17" t="n">
        <v>44736</v>
      </c>
      <c r="B1445" s="19" t="n">
        <v>0.0120721936630721</v>
      </c>
    </row>
    <row r="1446" customFormat="false" ht="15" hidden="false" customHeight="false" outlineLevel="0" collapsed="false">
      <c r="A1446" s="17" t="n">
        <v>44739</v>
      </c>
      <c r="B1446" s="19" t="n">
        <v>-0.00326057781154421</v>
      </c>
    </row>
    <row r="1447" customFormat="false" ht="15" hidden="false" customHeight="false" outlineLevel="0" collapsed="false">
      <c r="A1447" s="17" t="n">
        <v>44740</v>
      </c>
      <c r="B1447" s="19" t="n">
        <v>-0.00564365061316285</v>
      </c>
    </row>
    <row r="1448" customFormat="false" ht="15" hidden="false" customHeight="false" outlineLevel="0" collapsed="false">
      <c r="A1448" s="17" t="n">
        <v>44741</v>
      </c>
      <c r="B1448" s="19" t="n">
        <v>0.000158500446838961</v>
      </c>
    </row>
    <row r="1449" customFormat="false" ht="15" hidden="false" customHeight="false" outlineLevel="0" collapsed="false">
      <c r="A1449" s="17" t="n">
        <v>44742</v>
      </c>
      <c r="B1449" s="19" t="n">
        <v>-0.00282490376118305</v>
      </c>
    </row>
    <row r="1450" customFormat="false" ht="15" hidden="false" customHeight="false" outlineLevel="0" collapsed="false">
      <c r="A1450" s="17" t="n">
        <v>44743</v>
      </c>
      <c r="B1450" s="19" t="n">
        <v>0.00697582081514447</v>
      </c>
    </row>
    <row r="1451" customFormat="false" ht="15" hidden="false" customHeight="false" outlineLevel="0" collapsed="false">
      <c r="A1451" s="17" t="n">
        <v>44747</v>
      </c>
      <c r="B1451" s="19" t="n">
        <v>-0.00443503435186399</v>
      </c>
    </row>
    <row r="1452" customFormat="false" ht="15" hidden="false" customHeight="false" outlineLevel="0" collapsed="false">
      <c r="A1452" s="17" t="n">
        <v>44748</v>
      </c>
      <c r="B1452" s="19" t="n">
        <v>-0.00341257308288367</v>
      </c>
    </row>
    <row r="1453" customFormat="false" ht="15" hidden="false" customHeight="false" outlineLevel="0" collapsed="false">
      <c r="A1453" s="17" t="n">
        <v>44749</v>
      </c>
      <c r="B1453" s="19" t="n">
        <v>0.00618483310308582</v>
      </c>
    </row>
    <row r="1454" customFormat="false" ht="15" hidden="false" customHeight="false" outlineLevel="0" collapsed="false">
      <c r="A1454" s="17" t="n">
        <v>44750</v>
      </c>
      <c r="B1454" s="19" t="n">
        <v>-0.00112067100298996</v>
      </c>
    </row>
    <row r="1455" customFormat="false" ht="15" hidden="false" customHeight="false" outlineLevel="0" collapsed="false">
      <c r="A1455" s="17" t="n">
        <v>44753</v>
      </c>
      <c r="B1455" s="19" t="n">
        <v>-0.00541462351101119</v>
      </c>
    </row>
    <row r="1456" customFormat="false" ht="15" hidden="false" customHeight="false" outlineLevel="0" collapsed="false">
      <c r="A1456" s="17" t="n">
        <v>44754</v>
      </c>
      <c r="B1456" s="19" t="n">
        <v>-0.00239699702569007</v>
      </c>
    </row>
    <row r="1457" customFormat="false" ht="15" hidden="false" customHeight="false" outlineLevel="0" collapsed="false">
      <c r="A1457" s="17" t="n">
        <v>44755</v>
      </c>
      <c r="B1457" s="19" t="n">
        <v>-9.26607487393705E-005</v>
      </c>
    </row>
    <row r="1458" customFormat="false" ht="15" hidden="false" customHeight="false" outlineLevel="0" collapsed="false">
      <c r="A1458" s="17" t="n">
        <v>44756</v>
      </c>
      <c r="B1458" s="19" t="n">
        <v>-0.00516037978346629</v>
      </c>
    </row>
    <row r="1459" customFormat="false" ht="15" hidden="false" customHeight="false" outlineLevel="0" collapsed="false">
      <c r="A1459" s="17" t="n">
        <v>44757</v>
      </c>
      <c r="B1459" s="19" t="n">
        <v>0.00857785519944287</v>
      </c>
    </row>
    <row r="1460" customFormat="false" ht="15" hidden="false" customHeight="false" outlineLevel="0" collapsed="false">
      <c r="A1460" s="17" t="n">
        <v>44760</v>
      </c>
      <c r="B1460" s="19" t="n">
        <v>-0.00137249023104391</v>
      </c>
    </row>
    <row r="1461" customFormat="false" ht="15" hidden="false" customHeight="false" outlineLevel="0" collapsed="false">
      <c r="A1461" s="17" t="n">
        <v>44761</v>
      </c>
      <c r="B1461" s="19" t="n">
        <v>0.0112490473869533</v>
      </c>
    </row>
    <row r="1462" customFormat="false" ht="15" hidden="false" customHeight="false" outlineLevel="0" collapsed="false">
      <c r="A1462" s="17" t="n">
        <v>44762</v>
      </c>
      <c r="B1462" s="19" t="n">
        <v>0.00050824027035401</v>
      </c>
    </row>
    <row r="1463" customFormat="false" ht="15" hidden="false" customHeight="false" outlineLevel="0" collapsed="false">
      <c r="A1463" s="17" t="n">
        <v>44763</v>
      </c>
      <c r="B1463" s="19" t="n">
        <v>0.00911188120618567</v>
      </c>
    </row>
    <row r="1464" customFormat="false" ht="15" hidden="false" customHeight="false" outlineLevel="0" collapsed="false">
      <c r="A1464" s="17" t="n">
        <v>44764</v>
      </c>
      <c r="B1464" s="19" t="n">
        <v>-0.000143009519145809</v>
      </c>
    </row>
    <row r="1465" customFormat="false" ht="15" hidden="false" customHeight="false" outlineLevel="0" collapsed="false">
      <c r="A1465" s="17" t="n">
        <v>44767</v>
      </c>
      <c r="B1465" s="19" t="n">
        <v>-0.000252338822742337</v>
      </c>
    </row>
    <row r="1466" customFormat="false" ht="15" hidden="false" customHeight="false" outlineLevel="0" collapsed="false">
      <c r="A1466" s="17" t="n">
        <v>44768</v>
      </c>
      <c r="B1466" s="19" t="n">
        <v>-0.00481094574552421</v>
      </c>
    </row>
    <row r="1467" customFormat="false" ht="15" hidden="false" customHeight="false" outlineLevel="0" collapsed="false">
      <c r="A1467" s="17" t="n">
        <v>44769</v>
      </c>
      <c r="B1467" s="19" t="n">
        <v>0.0123803649158025</v>
      </c>
    </row>
    <row r="1468" customFormat="false" ht="15" hidden="false" customHeight="false" outlineLevel="0" collapsed="false">
      <c r="A1468" s="17" t="n">
        <v>44770</v>
      </c>
      <c r="B1468" s="19" t="n">
        <v>0.00906260207905674</v>
      </c>
    </row>
    <row r="1469" customFormat="false" ht="15" hidden="false" customHeight="false" outlineLevel="0" collapsed="false">
      <c r="A1469" s="17" t="n">
        <v>44771</v>
      </c>
      <c r="B1469" s="19" t="n">
        <v>0.00570397369469067</v>
      </c>
    </row>
    <row r="1470" customFormat="false" ht="15" hidden="false" customHeight="false" outlineLevel="0" collapsed="false">
      <c r="A1470" s="17" t="n">
        <v>44774</v>
      </c>
      <c r="B1470" s="19" t="n">
        <v>0.000531633236342977</v>
      </c>
    </row>
    <row r="1471" customFormat="false" ht="15" hidden="false" customHeight="false" outlineLevel="0" collapsed="false">
      <c r="A1471" s="17" t="n">
        <v>44775</v>
      </c>
      <c r="B1471" s="19" t="n">
        <v>-0.00793542363878008</v>
      </c>
    </row>
    <row r="1472" customFormat="false" ht="15" hidden="false" customHeight="false" outlineLevel="0" collapsed="false">
      <c r="A1472" s="17" t="n">
        <v>44776</v>
      </c>
      <c r="B1472" s="19" t="n">
        <v>0.00680028391160414</v>
      </c>
    </row>
    <row r="1473" customFormat="false" ht="15" hidden="false" customHeight="false" outlineLevel="0" collapsed="false">
      <c r="A1473" s="17" t="n">
        <v>44777</v>
      </c>
      <c r="B1473" s="19" t="n">
        <v>0.00212837943804467</v>
      </c>
    </row>
    <row r="1474" customFormat="false" ht="15" hidden="false" customHeight="false" outlineLevel="0" collapsed="false">
      <c r="A1474" s="17" t="n">
        <v>44778</v>
      </c>
      <c r="B1474" s="19" t="n">
        <v>-0.00543584724540591</v>
      </c>
    </row>
    <row r="1475" customFormat="false" ht="15" hidden="false" customHeight="false" outlineLevel="0" collapsed="false">
      <c r="A1475" s="17" t="n">
        <v>44781</v>
      </c>
      <c r="B1475" s="19" t="n">
        <v>0.00385678153901004</v>
      </c>
    </row>
    <row r="1476" customFormat="false" ht="15" hidden="false" customHeight="false" outlineLevel="0" collapsed="false">
      <c r="A1476" s="17" t="n">
        <v>44782</v>
      </c>
      <c r="B1476" s="19" t="n">
        <v>-0.00251489784761028</v>
      </c>
    </row>
    <row r="1477" customFormat="false" ht="15" hidden="false" customHeight="false" outlineLevel="0" collapsed="false">
      <c r="A1477" s="17" t="n">
        <v>44783</v>
      </c>
      <c r="B1477" s="19" t="n">
        <v>0.00989735958245586</v>
      </c>
    </row>
    <row r="1478" customFormat="false" ht="15" hidden="false" customHeight="false" outlineLevel="0" collapsed="false">
      <c r="A1478" s="17" t="n">
        <v>44784</v>
      </c>
      <c r="B1478" s="19" t="n">
        <v>-0.00196722875105881</v>
      </c>
    </row>
    <row r="1479" customFormat="false" ht="15" hidden="false" customHeight="false" outlineLevel="0" collapsed="false">
      <c r="A1479" s="17" t="n">
        <v>44785</v>
      </c>
      <c r="B1479" s="19" t="n">
        <v>0.0088777880236548</v>
      </c>
    </row>
    <row r="1480" customFormat="false" ht="15" hidden="false" customHeight="false" outlineLevel="0" collapsed="false">
      <c r="A1480" s="17" t="n">
        <v>44788</v>
      </c>
      <c r="B1480" s="19" t="n">
        <v>-0.000581695544293992</v>
      </c>
    </row>
    <row r="1481" customFormat="false" ht="15" hidden="false" customHeight="false" outlineLevel="0" collapsed="false">
      <c r="A1481" s="17" t="n">
        <v>44789</v>
      </c>
      <c r="B1481" s="19" t="n">
        <v>-0.000159301358943709</v>
      </c>
    </row>
    <row r="1482" customFormat="false" ht="15" hidden="false" customHeight="false" outlineLevel="0" collapsed="false">
      <c r="A1482" s="17" t="n">
        <v>44790</v>
      </c>
      <c r="B1482" s="19" t="n">
        <v>-0.00510266223297506</v>
      </c>
    </row>
    <row r="1483" customFormat="false" ht="15" hidden="false" customHeight="false" outlineLevel="0" collapsed="false">
      <c r="A1483" s="17" t="n">
        <v>44791</v>
      </c>
      <c r="B1483" s="19" t="n">
        <v>0.0002269925790781</v>
      </c>
    </row>
    <row r="1484" customFormat="false" ht="15" hidden="false" customHeight="false" outlineLevel="0" collapsed="false">
      <c r="A1484" s="17" t="n">
        <v>44792</v>
      </c>
      <c r="B1484" s="19" t="n">
        <v>-0.00816223904574909</v>
      </c>
    </row>
    <row r="1485" customFormat="false" ht="15" hidden="false" customHeight="false" outlineLevel="0" collapsed="false">
      <c r="A1485" s="17" t="n">
        <v>44795</v>
      </c>
      <c r="B1485" s="19" t="n">
        <v>-0.00989367626107263</v>
      </c>
    </row>
    <row r="1486" customFormat="false" ht="15" hidden="false" customHeight="false" outlineLevel="0" collapsed="false">
      <c r="A1486" s="17" t="n">
        <v>44796</v>
      </c>
      <c r="B1486" s="19" t="n">
        <v>-0.000168102366379097</v>
      </c>
    </row>
    <row r="1487" customFormat="false" ht="15" hidden="false" customHeight="false" outlineLevel="0" collapsed="false">
      <c r="A1487" s="17" t="n">
        <v>44797</v>
      </c>
      <c r="B1487" s="19" t="n">
        <v>0.000910902204856789</v>
      </c>
    </row>
    <row r="1488" customFormat="false" ht="15" hidden="false" customHeight="false" outlineLevel="0" collapsed="false">
      <c r="A1488" s="17" t="n">
        <v>44798</v>
      </c>
      <c r="B1488" s="19" t="n">
        <v>0.00885936449920255</v>
      </c>
    </row>
    <row r="1489" customFormat="false" ht="15" hidden="false" customHeight="false" outlineLevel="0" collapsed="false">
      <c r="A1489" s="17" t="n">
        <v>44799</v>
      </c>
      <c r="B1489" s="19" t="n">
        <v>-0.0140221309565525</v>
      </c>
    </row>
    <row r="1490" customFormat="false" ht="15" hidden="false" customHeight="false" outlineLevel="0" collapsed="false">
      <c r="A1490" s="17" t="n">
        <v>44802</v>
      </c>
      <c r="B1490" s="19" t="n">
        <v>-0.0039496745753661</v>
      </c>
    </row>
    <row r="1491" customFormat="false" ht="15" hidden="false" customHeight="false" outlineLevel="0" collapsed="false">
      <c r="A1491" s="17" t="n">
        <v>44803</v>
      </c>
      <c r="B1491" s="19" t="n">
        <v>-0.00603024921041506</v>
      </c>
    </row>
    <row r="1492" customFormat="false" ht="15" hidden="false" customHeight="false" outlineLevel="0" collapsed="false">
      <c r="A1492" s="17" t="n">
        <v>44804</v>
      </c>
      <c r="B1492" s="19" t="n">
        <v>-0.00515858072850761</v>
      </c>
    </row>
    <row r="1493" customFormat="false" ht="15" hidden="false" customHeight="false" outlineLevel="0" collapsed="false">
      <c r="A1493" s="17" t="n">
        <v>44805</v>
      </c>
      <c r="B1493" s="19" t="n">
        <v>-0.0049320238717222</v>
      </c>
    </row>
    <row r="1494" customFormat="false" ht="15" hidden="false" customHeight="false" outlineLevel="0" collapsed="false">
      <c r="A1494" s="17" t="n">
        <v>44806</v>
      </c>
      <c r="B1494" s="19" t="n">
        <v>-0.00174464247229356</v>
      </c>
    </row>
    <row r="1495" customFormat="false" ht="15" hidden="false" customHeight="false" outlineLevel="0" collapsed="false">
      <c r="A1495" s="17" t="n">
        <v>44810</v>
      </c>
      <c r="B1495" s="19" t="n">
        <v>-0.00632153931243684</v>
      </c>
    </row>
    <row r="1496" customFormat="false" ht="15" hidden="false" customHeight="false" outlineLevel="0" collapsed="false">
      <c r="A1496" s="17" t="n">
        <v>44811</v>
      </c>
      <c r="B1496" s="19" t="n">
        <v>0.00887497023989003</v>
      </c>
    </row>
    <row r="1497" customFormat="false" ht="15" hidden="false" customHeight="false" outlineLevel="0" collapsed="false">
      <c r="A1497" s="17" t="n">
        <v>44812</v>
      </c>
      <c r="B1497" s="19" t="n">
        <v>4.70849197420353E-005</v>
      </c>
    </row>
    <row r="1498" customFormat="false" ht="15" hidden="false" customHeight="false" outlineLevel="0" collapsed="false">
      <c r="A1498" s="17" t="n">
        <v>44813</v>
      </c>
      <c r="B1498" s="19" t="n">
        <v>0.00774262658291991</v>
      </c>
    </row>
    <row r="1499" customFormat="false" ht="15" hidden="false" customHeight="false" outlineLevel="0" collapsed="false">
      <c r="A1499" s="17" t="n">
        <v>44816</v>
      </c>
      <c r="B1499" s="19" t="n">
        <v>0.00555431867008593</v>
      </c>
    </row>
    <row r="1500" customFormat="false" ht="15" hidden="false" customHeight="false" outlineLevel="0" collapsed="false">
      <c r="A1500" s="17" t="n">
        <v>44817</v>
      </c>
      <c r="B1500" s="19" t="n">
        <v>-0.0196591910037381</v>
      </c>
    </row>
    <row r="1501" customFormat="false" ht="15" hidden="false" customHeight="false" outlineLevel="0" collapsed="false">
      <c r="A1501" s="17" t="n">
        <v>44818</v>
      </c>
      <c r="B1501" s="19" t="n">
        <v>0.00185188571820394</v>
      </c>
    </row>
    <row r="1502" customFormat="false" ht="15" hidden="false" customHeight="false" outlineLevel="0" collapsed="false">
      <c r="A1502" s="17" t="n">
        <v>44819</v>
      </c>
      <c r="B1502" s="19" t="n">
        <v>-0.00735382462805945</v>
      </c>
    </row>
    <row r="1503" customFormat="false" ht="15" hidden="false" customHeight="false" outlineLevel="0" collapsed="false">
      <c r="A1503" s="17" t="n">
        <v>44820</v>
      </c>
      <c r="B1503" s="19" t="n">
        <v>-0.00346630934244985</v>
      </c>
    </row>
    <row r="1504" customFormat="false" ht="15" hidden="false" customHeight="false" outlineLevel="0" collapsed="false">
      <c r="A1504" s="17" t="n">
        <v>44823</v>
      </c>
      <c r="B1504" s="19" t="n">
        <v>0.000655974714901086</v>
      </c>
    </row>
    <row r="1505" customFormat="false" ht="15" hidden="false" customHeight="false" outlineLevel="0" collapsed="false">
      <c r="A1505" s="17" t="n">
        <v>44824</v>
      </c>
      <c r="B1505" s="19" t="n">
        <v>-0.00717155014998072</v>
      </c>
    </row>
    <row r="1506" customFormat="false" ht="15" hidden="false" customHeight="false" outlineLevel="0" collapsed="false">
      <c r="A1506" s="17" t="n">
        <v>44825</v>
      </c>
      <c r="B1506" s="19" t="n">
        <v>-0.00578611785394212</v>
      </c>
    </row>
    <row r="1507" customFormat="false" ht="15" hidden="false" customHeight="false" outlineLevel="0" collapsed="false">
      <c r="A1507" s="17" t="n">
        <v>44826</v>
      </c>
      <c r="B1507" s="19" t="n">
        <v>-0.00765158858734327</v>
      </c>
    </row>
    <row r="1508" customFormat="false" ht="15" hidden="false" customHeight="false" outlineLevel="0" collapsed="false">
      <c r="A1508" s="17" t="n">
        <v>44827</v>
      </c>
      <c r="B1508" s="19" t="n">
        <v>-0.0115818401986644</v>
      </c>
    </row>
    <row r="1509" customFormat="false" ht="15" hidden="false" customHeight="false" outlineLevel="0" collapsed="false">
      <c r="A1509" s="17" t="n">
        <v>44830</v>
      </c>
      <c r="B1509" s="19" t="n">
        <v>-0.013301932985897</v>
      </c>
    </row>
    <row r="1510" customFormat="false" ht="15" hidden="false" customHeight="false" outlineLevel="0" collapsed="false">
      <c r="A1510" s="17" t="n">
        <v>44831</v>
      </c>
      <c r="B1510" s="19" t="n">
        <v>-0.00232437783661332</v>
      </c>
    </row>
    <row r="1511" customFormat="false" ht="15" hidden="false" customHeight="false" outlineLevel="0" collapsed="false">
      <c r="A1511" s="17" t="n">
        <v>44832</v>
      </c>
      <c r="B1511" s="19" t="n">
        <v>0.0163371687298264</v>
      </c>
    </row>
    <row r="1512" customFormat="false" ht="15" hidden="false" customHeight="false" outlineLevel="0" collapsed="false">
      <c r="A1512" s="17" t="n">
        <v>44833</v>
      </c>
      <c r="B1512" s="19" t="n">
        <v>-0.0108988075535998</v>
      </c>
    </row>
    <row r="1513" customFormat="false" ht="15" hidden="false" customHeight="false" outlineLevel="0" collapsed="false">
      <c r="A1513" s="17" t="n">
        <v>44834</v>
      </c>
      <c r="B1513" s="19" t="n">
        <v>-0.00491776624679552</v>
      </c>
    </row>
    <row r="1514" customFormat="false" ht="15" hidden="false" customHeight="false" outlineLevel="0" collapsed="false">
      <c r="A1514" s="17" t="n">
        <v>44837</v>
      </c>
      <c r="B1514" s="19" t="n">
        <v>0.0158633694743928</v>
      </c>
    </row>
    <row r="1515" customFormat="false" ht="15" hidden="false" customHeight="false" outlineLevel="0" collapsed="false">
      <c r="A1515" s="17" t="n">
        <v>44838</v>
      </c>
      <c r="B1515" s="19" t="n">
        <v>0.0160368574054228</v>
      </c>
    </row>
    <row r="1516" customFormat="false" ht="15" hidden="false" customHeight="false" outlineLevel="0" collapsed="false">
      <c r="A1516" s="17" t="n">
        <v>44839</v>
      </c>
      <c r="B1516" s="19" t="n">
        <v>-0.00485691822611845</v>
      </c>
    </row>
    <row r="1517" customFormat="false" ht="15" hidden="false" customHeight="false" outlineLevel="0" collapsed="false">
      <c r="A1517" s="17" t="n">
        <v>44840</v>
      </c>
      <c r="B1517" s="19" t="n">
        <v>-0.00634025807763683</v>
      </c>
    </row>
    <row r="1518" customFormat="false" ht="15" hidden="false" customHeight="false" outlineLevel="0" collapsed="false">
      <c r="A1518" s="17" t="n">
        <v>44841</v>
      </c>
      <c r="B1518" s="19" t="n">
        <v>-0.0122453110459537</v>
      </c>
    </row>
    <row r="1519" customFormat="false" ht="15" hidden="false" customHeight="false" outlineLevel="0" collapsed="false">
      <c r="A1519" s="17" t="n">
        <v>44844</v>
      </c>
      <c r="B1519" s="19" t="n">
        <v>-0.00663038123741155</v>
      </c>
    </row>
    <row r="1520" customFormat="false" ht="15" hidden="false" customHeight="false" outlineLevel="0" collapsed="false">
      <c r="A1520" s="17" t="n">
        <v>44845</v>
      </c>
      <c r="B1520" s="19" t="n">
        <v>-0.0031220682266031</v>
      </c>
    </row>
    <row r="1521" customFormat="false" ht="15" hidden="false" customHeight="false" outlineLevel="0" collapsed="false">
      <c r="A1521" s="17" t="n">
        <v>44846</v>
      </c>
      <c r="B1521" s="19" t="n">
        <v>-0.000250387889191295</v>
      </c>
    </row>
    <row r="1522" customFormat="false" ht="15" hidden="false" customHeight="false" outlineLevel="0" collapsed="false">
      <c r="A1522" s="17" t="n">
        <v>44847</v>
      </c>
      <c r="B1522" s="19" t="n">
        <v>0.00680914871325</v>
      </c>
    </row>
    <row r="1523" customFormat="false" ht="15" hidden="false" customHeight="false" outlineLevel="0" collapsed="false">
      <c r="A1523" s="17" t="n">
        <v>44848</v>
      </c>
      <c r="B1523" s="19" t="n">
        <v>-0.0108119593087279</v>
      </c>
    </row>
    <row r="1524" customFormat="false" ht="15" hidden="false" customHeight="false" outlineLevel="0" collapsed="false">
      <c r="A1524" s="17" t="n">
        <v>44851</v>
      </c>
      <c r="B1524" s="19" t="n">
        <v>0.0127552634442754</v>
      </c>
    </row>
    <row r="1525" customFormat="false" ht="15" hidden="false" customHeight="false" outlineLevel="0" collapsed="false">
      <c r="A1525" s="17" t="n">
        <v>44852</v>
      </c>
      <c r="B1525" s="19" t="n">
        <v>0.00472736929352968</v>
      </c>
    </row>
    <row r="1526" customFormat="false" ht="15" hidden="false" customHeight="false" outlineLevel="0" collapsed="false">
      <c r="A1526" s="17" t="n">
        <v>44853</v>
      </c>
      <c r="B1526" s="19" t="n">
        <v>-0.0080733513691863</v>
      </c>
    </row>
    <row r="1527" customFormat="false" ht="15" hidden="false" customHeight="false" outlineLevel="0" collapsed="false">
      <c r="A1527" s="17" t="n">
        <v>44854</v>
      </c>
      <c r="B1527" s="19" t="n">
        <v>-0.00315659359976561</v>
      </c>
    </row>
    <row r="1528" customFormat="false" ht="15" hidden="false" customHeight="false" outlineLevel="0" collapsed="false">
      <c r="A1528" s="17" t="n">
        <v>44855</v>
      </c>
      <c r="B1528" s="19" t="n">
        <v>0.0102714608698851</v>
      </c>
    </row>
    <row r="1529" customFormat="false" ht="15" hidden="false" customHeight="false" outlineLevel="0" collapsed="false">
      <c r="A1529" s="17" t="n">
        <v>44858</v>
      </c>
      <c r="B1529" s="19" t="n">
        <v>8.45463651797385E-005</v>
      </c>
    </row>
    <row r="1530" customFormat="false" ht="15" hidden="false" customHeight="false" outlineLevel="0" collapsed="false">
      <c r="A1530" s="17" t="n">
        <v>44859</v>
      </c>
      <c r="B1530" s="19" t="n">
        <v>0.0110347436298508</v>
      </c>
    </row>
    <row r="1531" customFormat="false" ht="15" hidden="false" customHeight="false" outlineLevel="0" collapsed="false">
      <c r="A1531" s="17" t="n">
        <v>44860</v>
      </c>
      <c r="B1531" s="19" t="n">
        <v>0.000865924323841583</v>
      </c>
    </row>
    <row r="1532" customFormat="false" ht="15" hidden="false" customHeight="false" outlineLevel="0" collapsed="false">
      <c r="A1532" s="17" t="n">
        <v>44861</v>
      </c>
      <c r="B1532" s="19" t="n">
        <v>-0.000169923687357576</v>
      </c>
    </row>
    <row r="1533" customFormat="false" ht="15" hidden="false" customHeight="false" outlineLevel="0" collapsed="false">
      <c r="A1533" s="17" t="n">
        <v>44862</v>
      </c>
      <c r="B1533" s="19" t="n">
        <v>0.00529439679577526</v>
      </c>
    </row>
    <row r="1534" customFormat="false" ht="15" hidden="false" customHeight="false" outlineLevel="0" collapsed="false">
      <c r="A1534" s="17" t="n">
        <v>44865</v>
      </c>
      <c r="B1534" s="19" t="n">
        <v>-0.00416563253828828</v>
      </c>
    </row>
    <row r="1535" customFormat="false" ht="15" hidden="false" customHeight="false" outlineLevel="0" collapsed="false">
      <c r="A1535" s="17" t="n">
        <v>44866</v>
      </c>
      <c r="B1535" s="19" t="n">
        <v>0.00110668530246372</v>
      </c>
    </row>
    <row r="1536" customFormat="false" ht="15" hidden="false" customHeight="false" outlineLevel="0" collapsed="false">
      <c r="A1536" s="17" t="n">
        <v>44867</v>
      </c>
      <c r="B1536" s="19" t="n">
        <v>-0.0103815208928106</v>
      </c>
    </row>
    <row r="1537" customFormat="false" ht="15" hidden="false" customHeight="false" outlineLevel="0" collapsed="false">
      <c r="A1537" s="17" t="n">
        <v>44868</v>
      </c>
      <c r="B1537" s="19" t="n">
        <v>-0.00550708109906473</v>
      </c>
    </row>
    <row r="1538" customFormat="false" ht="15" hidden="false" customHeight="false" outlineLevel="0" collapsed="false">
      <c r="A1538" s="17" t="n">
        <v>44869</v>
      </c>
      <c r="B1538" s="19" t="n">
        <v>0.0123874059225713</v>
      </c>
    </row>
    <row r="1539" customFormat="false" ht="15" hidden="false" customHeight="false" outlineLevel="0" collapsed="false">
      <c r="A1539" s="17" t="n">
        <v>44872</v>
      </c>
      <c r="B1539" s="19" t="n">
        <v>0.00162679178379932</v>
      </c>
    </row>
    <row r="1540" customFormat="false" ht="15" hidden="false" customHeight="false" outlineLevel="0" collapsed="false">
      <c r="A1540" s="17" t="n">
        <v>44873</v>
      </c>
      <c r="B1540" s="19" t="n">
        <v>0.00519010217859894</v>
      </c>
    </row>
    <row r="1541" customFormat="false" ht="15" hidden="false" customHeight="false" outlineLevel="0" collapsed="false">
      <c r="A1541" s="17" t="n">
        <v>44874</v>
      </c>
      <c r="B1541" s="19" t="n">
        <v>-0.0083820864138584</v>
      </c>
    </row>
    <row r="1542" customFormat="false" ht="15" hidden="false" customHeight="false" outlineLevel="0" collapsed="false">
      <c r="A1542" s="17" t="n">
        <v>44875</v>
      </c>
      <c r="B1542" s="19" t="n">
        <v>0.0321706432608599</v>
      </c>
    </row>
    <row r="1543" customFormat="false" ht="15" hidden="false" customHeight="false" outlineLevel="0" collapsed="false">
      <c r="A1543" s="17" t="n">
        <v>44876</v>
      </c>
      <c r="B1543" s="19" t="n">
        <v>0.00607414734605527</v>
      </c>
    </row>
    <row r="1544" customFormat="false" ht="15" hidden="false" customHeight="false" outlineLevel="0" collapsed="false">
      <c r="A1544" s="17" t="n">
        <v>44879</v>
      </c>
      <c r="B1544" s="19" t="n">
        <v>-0.00659169856304587</v>
      </c>
    </row>
    <row r="1545" customFormat="false" ht="15" hidden="false" customHeight="false" outlineLevel="0" collapsed="false">
      <c r="A1545" s="17" t="n">
        <v>44880</v>
      </c>
      <c r="B1545" s="19" t="n">
        <v>0.00670775546631552</v>
      </c>
    </row>
    <row r="1546" customFormat="false" ht="15" hidden="false" customHeight="false" outlineLevel="0" collapsed="false">
      <c r="A1546" s="17" t="n">
        <v>44881</v>
      </c>
      <c r="B1546" s="19" t="n">
        <v>-0.00231278783043953</v>
      </c>
    </row>
    <row r="1547" customFormat="false" ht="15" hidden="false" customHeight="false" outlineLevel="0" collapsed="false">
      <c r="A1547" s="17" t="n">
        <v>44882</v>
      </c>
      <c r="B1547" s="19" t="n">
        <v>-0.00332199010129719</v>
      </c>
    </row>
    <row r="1548" customFormat="false" ht="15" hidden="false" customHeight="false" outlineLevel="0" collapsed="false">
      <c r="A1548" s="17" t="n">
        <v>44883</v>
      </c>
      <c r="B1548" s="19" t="n">
        <v>-0.000277282771661835</v>
      </c>
    </row>
    <row r="1549" customFormat="false" ht="15" hidden="false" customHeight="false" outlineLevel="0" collapsed="false">
      <c r="A1549" s="17" t="n">
        <v>44886</v>
      </c>
      <c r="B1549" s="19" t="n">
        <v>-0.00246783930264782</v>
      </c>
    </row>
    <row r="1550" customFormat="false" ht="15" hidden="false" customHeight="false" outlineLevel="0" collapsed="false">
      <c r="A1550" s="17" t="n">
        <v>44887</v>
      </c>
      <c r="B1550" s="19" t="n">
        <v>0.00686581516866225</v>
      </c>
    </row>
    <row r="1551" customFormat="false" ht="15" hidden="false" customHeight="false" outlineLevel="0" collapsed="false">
      <c r="A1551" s="17" t="n">
        <v>44888</v>
      </c>
      <c r="B1551" s="19" t="n">
        <v>0.00565827080724435</v>
      </c>
    </row>
    <row r="1552" customFormat="false" ht="15" hidden="false" customHeight="false" outlineLevel="0" collapsed="false">
      <c r="A1552" s="17" t="n">
        <v>44890</v>
      </c>
      <c r="B1552" s="19" t="n">
        <v>0.00044884183104843</v>
      </c>
    </row>
    <row r="1553" customFormat="false" ht="15" hidden="false" customHeight="false" outlineLevel="0" collapsed="false">
      <c r="A1553" s="17" t="n">
        <v>44893</v>
      </c>
      <c r="B1553" s="19" t="n">
        <v>-0.00797887276916265</v>
      </c>
    </row>
    <row r="1554" customFormat="false" ht="15" hidden="false" customHeight="false" outlineLevel="0" collapsed="false">
      <c r="A1554" s="17" t="n">
        <v>44894</v>
      </c>
      <c r="B1554" s="19" t="n">
        <v>4.38012052923487E-005</v>
      </c>
    </row>
    <row r="1555" customFormat="false" ht="15" hidden="false" customHeight="false" outlineLevel="0" collapsed="false">
      <c r="A1555" s="17" t="n">
        <v>44895</v>
      </c>
      <c r="B1555" s="19" t="n">
        <v>0.0167193743775016</v>
      </c>
    </row>
    <row r="1556" customFormat="false" ht="15" hidden="false" customHeight="false" outlineLevel="0" collapsed="false">
      <c r="A1556" s="17" t="n">
        <v>44896</v>
      </c>
      <c r="B1556" s="19" t="n">
        <v>0.00501091242520424</v>
      </c>
    </row>
    <row r="1557" customFormat="false" ht="15" hidden="false" customHeight="false" outlineLevel="0" collapsed="false">
      <c r="A1557" s="17" t="n">
        <v>44897</v>
      </c>
      <c r="B1557" s="19" t="n">
        <v>0.00167526328137635</v>
      </c>
    </row>
    <row r="1558" customFormat="false" ht="15" hidden="false" customHeight="false" outlineLevel="0" collapsed="false">
      <c r="A1558" s="17" t="n">
        <v>44900</v>
      </c>
      <c r="B1558" s="19" t="n">
        <v>-0.0128355216165198</v>
      </c>
    </row>
    <row r="1559" customFormat="false" ht="15" hidden="false" customHeight="false" outlineLevel="0" collapsed="false">
      <c r="A1559" s="17" t="n">
        <v>44901</v>
      </c>
      <c r="B1559" s="19" t="n">
        <v>-0.0036167166604536</v>
      </c>
    </row>
    <row r="1560" customFormat="false" ht="15" hidden="false" customHeight="false" outlineLevel="0" collapsed="false">
      <c r="A1560" s="17" t="n">
        <v>44902</v>
      </c>
      <c r="B1560" s="19" t="n">
        <v>0.00221548522789572</v>
      </c>
    </row>
    <row r="1561" customFormat="false" ht="15" hidden="false" customHeight="false" outlineLevel="0" collapsed="false">
      <c r="A1561" s="17" t="n">
        <v>44903</v>
      </c>
      <c r="B1561" s="19" t="n">
        <v>0.00277399708604409</v>
      </c>
    </row>
    <row r="1562" customFormat="false" ht="15" hidden="false" customHeight="false" outlineLevel="0" collapsed="false">
      <c r="A1562" s="17" t="n">
        <v>44904</v>
      </c>
      <c r="B1562" s="19" t="n">
        <v>-0.00482475657359494</v>
      </c>
    </row>
    <row r="1563" customFormat="false" ht="15" hidden="false" customHeight="false" outlineLevel="0" collapsed="false">
      <c r="A1563" s="17" t="n">
        <v>44907</v>
      </c>
      <c r="B1563" s="19" t="n">
        <v>0.00259893287112112</v>
      </c>
    </row>
    <row r="1564" customFormat="false" ht="15" hidden="false" customHeight="false" outlineLevel="0" collapsed="false">
      <c r="A1564" s="17" t="n">
        <v>44908</v>
      </c>
      <c r="B1564" s="19" t="n">
        <v>0.00756611969355303</v>
      </c>
    </row>
    <row r="1565" customFormat="false" ht="15" hidden="false" customHeight="false" outlineLevel="0" collapsed="false">
      <c r="A1565" s="17" t="n">
        <v>44909</v>
      </c>
      <c r="B1565" s="19" t="n">
        <v>-0.00144112586524992</v>
      </c>
    </row>
    <row r="1566" customFormat="false" ht="15" hidden="false" customHeight="false" outlineLevel="0" collapsed="false">
      <c r="A1566" s="17" t="n">
        <v>44910</v>
      </c>
      <c r="B1566" s="19" t="n">
        <v>-0.0108800661295805</v>
      </c>
    </row>
    <row r="1567" customFormat="false" ht="15" hidden="false" customHeight="false" outlineLevel="0" collapsed="false">
      <c r="A1567" s="17" t="n">
        <v>44911</v>
      </c>
      <c r="B1567" s="19" t="n">
        <v>-0.00455530978930574</v>
      </c>
    </row>
    <row r="1568" customFormat="false" ht="15" hidden="false" customHeight="false" outlineLevel="0" collapsed="false">
      <c r="A1568" s="17" t="n">
        <v>44914</v>
      </c>
      <c r="B1568" s="19" t="n">
        <v>-0.00521786258309664</v>
      </c>
    </row>
    <row r="1569" customFormat="false" ht="15" hidden="false" customHeight="false" outlineLevel="0" collapsed="false">
      <c r="A1569" s="17" t="n">
        <v>44915</v>
      </c>
      <c r="B1569" s="19" t="n">
        <v>0.000631142670810769</v>
      </c>
    </row>
    <row r="1570" customFormat="false" ht="15" hidden="false" customHeight="false" outlineLevel="0" collapsed="false">
      <c r="A1570" s="17" t="n">
        <v>44916</v>
      </c>
      <c r="B1570" s="19" t="n">
        <v>0.00637490559209453</v>
      </c>
    </row>
    <row r="1571" customFormat="false" ht="15" hidden="false" customHeight="false" outlineLevel="0" collapsed="false">
      <c r="A1571" s="17" t="n">
        <v>44917</v>
      </c>
      <c r="B1571" s="19" t="n">
        <v>-0.0068771410323405</v>
      </c>
    </row>
    <row r="1572" customFormat="false" ht="15" hidden="false" customHeight="false" outlineLevel="0" collapsed="false">
      <c r="A1572" s="17" t="n">
        <v>44918</v>
      </c>
      <c r="B1572" s="19" t="n">
        <v>0.0012205959172864</v>
      </c>
    </row>
    <row r="1573" customFormat="false" ht="15" hidden="false" customHeight="false" outlineLevel="0" collapsed="false">
      <c r="A1573" s="17" t="n">
        <v>44922</v>
      </c>
      <c r="B1573" s="19" t="n">
        <v>-0.00158216439815229</v>
      </c>
    </row>
    <row r="1574" customFormat="false" ht="15" hidden="false" customHeight="false" outlineLevel="0" collapsed="false">
      <c r="A1574" s="17" t="n">
        <v>44923</v>
      </c>
      <c r="B1574" s="19" t="n">
        <v>-0.00604525147547241</v>
      </c>
    </row>
    <row r="1575" customFormat="false" ht="15" hidden="false" customHeight="false" outlineLevel="0" collapsed="false">
      <c r="A1575" s="17" t="n">
        <v>44924</v>
      </c>
      <c r="B1575" s="19" t="n">
        <v>0.00976799096262204</v>
      </c>
    </row>
    <row r="1576" customFormat="false" ht="15" hidden="false" customHeight="false" outlineLevel="0" collapsed="false">
      <c r="A1576" s="17" t="n">
        <v>44925</v>
      </c>
      <c r="B1576" s="19" t="n">
        <v>-0.00400658925053854</v>
      </c>
    </row>
    <row r="1577" customFormat="false" ht="15" hidden="false" customHeight="false" outlineLevel="0" collapsed="false">
      <c r="A1577" s="17" t="n">
        <v>44929</v>
      </c>
      <c r="B1577" s="19" t="n">
        <v>0.00317076944377659</v>
      </c>
    </row>
    <row r="1578" customFormat="false" ht="15" hidden="false" customHeight="false" outlineLevel="0" collapsed="false">
      <c r="A1578" s="17" t="n">
        <v>44930</v>
      </c>
      <c r="B1578" s="19" t="n">
        <v>0.00751713812662569</v>
      </c>
    </row>
    <row r="1579" customFormat="false" ht="15" hidden="false" customHeight="false" outlineLevel="0" collapsed="false">
      <c r="A1579" s="17" t="n">
        <v>44931</v>
      </c>
      <c r="B1579" s="19" t="n">
        <v>-0.0062462551325414</v>
      </c>
    </row>
    <row r="1580" customFormat="false" ht="15" hidden="false" customHeight="false" outlineLevel="0" collapsed="false">
      <c r="A1580" s="17" t="n">
        <v>44932</v>
      </c>
      <c r="B1580" s="19" t="n">
        <v>0.0150420520748478</v>
      </c>
    </row>
    <row r="1581" customFormat="false" ht="15" hidden="false" customHeight="false" outlineLevel="0" collapsed="false">
      <c r="A1581" s="17" t="n">
        <v>44935</v>
      </c>
      <c r="B1581" s="19" t="n">
        <v>0.00228277151172307</v>
      </c>
    </row>
    <row r="1582" customFormat="false" ht="15" hidden="false" customHeight="false" outlineLevel="0" collapsed="false">
      <c r="A1582" s="17" t="n">
        <v>44936</v>
      </c>
      <c r="B1582" s="19" t="n">
        <v>0.0014206932680263</v>
      </c>
    </row>
    <row r="1583" customFormat="false" ht="15" hidden="false" customHeight="false" outlineLevel="0" collapsed="false">
      <c r="A1583" s="17" t="n">
        <v>44937</v>
      </c>
      <c r="B1583" s="19" t="n">
        <v>0.0064999289103107</v>
      </c>
    </row>
    <row r="1584" customFormat="false" ht="15" hidden="false" customHeight="false" outlineLevel="0" collapsed="false">
      <c r="A1584" s="17" t="n">
        <v>44938</v>
      </c>
      <c r="B1584" s="19" t="n">
        <v>0.00767658784991854</v>
      </c>
    </row>
    <row r="1585" customFormat="false" ht="15" hidden="false" customHeight="false" outlineLevel="0" collapsed="false">
      <c r="A1585" s="17" t="n">
        <v>44939</v>
      </c>
      <c r="B1585" s="19" t="n">
        <v>0.00098893385120391</v>
      </c>
    </row>
    <row r="1586" customFormat="false" ht="15" hidden="false" customHeight="false" outlineLevel="0" collapsed="false">
      <c r="A1586" s="17" t="n">
        <v>44943</v>
      </c>
      <c r="B1586" s="19" t="n">
        <v>-0.0015859599664535</v>
      </c>
    </row>
    <row r="1587" customFormat="false" ht="15" hidden="false" customHeight="false" outlineLevel="0" collapsed="false">
      <c r="A1587" s="17" t="n">
        <v>44944</v>
      </c>
      <c r="B1587" s="19" t="n">
        <v>-0.00234016714786633</v>
      </c>
    </row>
    <row r="1588" customFormat="false" ht="15" hidden="false" customHeight="false" outlineLevel="0" collapsed="false">
      <c r="A1588" s="17" t="n">
        <v>44945</v>
      </c>
      <c r="B1588" s="19" t="n">
        <v>-0.000135848770282387</v>
      </c>
    </row>
    <row r="1589" customFormat="false" ht="15" hidden="false" customHeight="false" outlineLevel="0" collapsed="false">
      <c r="A1589" s="17" t="n">
        <v>44946</v>
      </c>
      <c r="B1589" s="19" t="n">
        <v>0.00473854450617228</v>
      </c>
    </row>
    <row r="1590" customFormat="false" ht="15" hidden="false" customHeight="false" outlineLevel="0" collapsed="false">
      <c r="A1590" s="17" t="n">
        <v>44949</v>
      </c>
      <c r="B1590" s="19" t="n">
        <v>0.00332830693148623</v>
      </c>
    </row>
    <row r="1591" customFormat="false" ht="15" hidden="false" customHeight="false" outlineLevel="0" collapsed="false">
      <c r="A1591" s="17" t="n">
        <v>44950</v>
      </c>
      <c r="B1591" s="19" t="n">
        <v>0.00172839890861209</v>
      </c>
    </row>
    <row r="1592" customFormat="false" ht="15" hidden="false" customHeight="false" outlineLevel="0" collapsed="false">
      <c r="A1592" s="17" t="n">
        <v>44951</v>
      </c>
      <c r="B1592" s="19" t="n">
        <v>0.00178964455718811</v>
      </c>
    </row>
    <row r="1593" customFormat="false" ht="15" hidden="false" customHeight="false" outlineLevel="0" collapsed="false">
      <c r="A1593" s="17" t="n">
        <v>44952</v>
      </c>
      <c r="B1593" s="19" t="n">
        <v>0.00208957337513605</v>
      </c>
    </row>
    <row r="1594" customFormat="false" ht="15" hidden="false" customHeight="false" outlineLevel="0" collapsed="false">
      <c r="A1594" s="17" t="n">
        <v>44953</v>
      </c>
      <c r="B1594" s="19" t="n">
        <v>-0.000450617092594974</v>
      </c>
    </row>
    <row r="1595" customFormat="false" ht="15" hidden="false" customHeight="false" outlineLevel="0" collapsed="false">
      <c r="A1595" s="17" t="n">
        <v>44956</v>
      </c>
      <c r="B1595" s="19" t="n">
        <v>-0.00689715624562581</v>
      </c>
    </row>
    <row r="1596" customFormat="false" ht="15" hidden="false" customHeight="false" outlineLevel="0" collapsed="false">
      <c r="A1596" s="17" t="n">
        <v>44957</v>
      </c>
      <c r="B1596" s="19" t="n">
        <v>0.00690496403391205</v>
      </c>
    </row>
    <row r="1597" customFormat="false" ht="15" hidden="false" customHeight="false" outlineLevel="0" collapsed="false">
      <c r="A1597" s="17" t="n">
        <v>44958</v>
      </c>
      <c r="B1597" s="19" t="n">
        <v>0.00775952602862273</v>
      </c>
    </row>
    <row r="1598" customFormat="false" ht="15" hidden="false" customHeight="false" outlineLevel="0" collapsed="false">
      <c r="A1598" s="17" t="n">
        <v>44959</v>
      </c>
      <c r="B1598" s="19" t="n">
        <v>0.0023652268295502</v>
      </c>
    </row>
    <row r="1599" customFormat="false" ht="15" hidden="false" customHeight="false" outlineLevel="0" collapsed="false">
      <c r="A1599" s="17" t="n">
        <v>44960</v>
      </c>
      <c r="B1599" s="19" t="n">
        <v>-0.0101246928381953</v>
      </c>
    </row>
    <row r="1600" customFormat="false" ht="15" hidden="false" customHeight="false" outlineLevel="0" collapsed="false">
      <c r="A1600" s="17" t="n">
        <v>44963</v>
      </c>
      <c r="B1600" s="19" t="n">
        <v>-0.00574894353013611</v>
      </c>
    </row>
    <row r="1601" customFormat="false" ht="15" hidden="false" customHeight="false" outlineLevel="0" collapsed="false">
      <c r="A1601" s="17" t="n">
        <v>44964</v>
      </c>
      <c r="B1601" s="19" t="n">
        <v>0.0039145873562827</v>
      </c>
    </row>
    <row r="1602" customFormat="false" ht="15" hidden="false" customHeight="false" outlineLevel="0" collapsed="false">
      <c r="A1602" s="17" t="n">
        <v>44965</v>
      </c>
      <c r="B1602" s="19" t="n">
        <v>-0.0021965922681283</v>
      </c>
    </row>
    <row r="1603" customFormat="false" ht="15" hidden="false" customHeight="false" outlineLevel="0" collapsed="false">
      <c r="A1603" s="17" t="n">
        <v>44966</v>
      </c>
      <c r="B1603" s="19" t="n">
        <v>-0.00495284854006206</v>
      </c>
    </row>
    <row r="1604" customFormat="false" ht="15" hidden="false" customHeight="false" outlineLevel="0" collapsed="false">
      <c r="A1604" s="17" t="n">
        <v>44967</v>
      </c>
      <c r="B1604" s="19" t="n">
        <v>-0.00133689832043071</v>
      </c>
    </row>
    <row r="1605" customFormat="false" ht="15" hidden="false" customHeight="false" outlineLevel="0" collapsed="false">
      <c r="A1605" s="17" t="n">
        <v>44970</v>
      </c>
      <c r="B1605" s="19" t="n">
        <v>0.00541550152612458</v>
      </c>
    </row>
    <row r="1606" customFormat="false" ht="15" hidden="false" customHeight="false" outlineLevel="0" collapsed="false">
      <c r="A1606" s="17" t="n">
        <v>44971</v>
      </c>
      <c r="B1606" s="19" t="n">
        <v>-0.00158968478435895</v>
      </c>
    </row>
    <row r="1607" customFormat="false" ht="15" hidden="false" customHeight="false" outlineLevel="0" collapsed="false">
      <c r="A1607" s="17" t="n">
        <v>44972</v>
      </c>
      <c r="B1607" s="19" t="n">
        <v>-0.000328687361887403</v>
      </c>
    </row>
    <row r="1608" customFormat="false" ht="15" hidden="false" customHeight="false" outlineLevel="0" collapsed="false">
      <c r="A1608" s="17" t="n">
        <v>44973</v>
      </c>
      <c r="B1608" s="19" t="n">
        <v>-0.00574087531208378</v>
      </c>
    </row>
    <row r="1609" customFormat="false" ht="15" hidden="false" customHeight="false" outlineLevel="0" collapsed="false">
      <c r="A1609" s="17" t="n">
        <v>44974</v>
      </c>
      <c r="B1609" s="19" t="n">
        <v>-1.52184478902084E-005</v>
      </c>
    </row>
    <row r="1610" customFormat="false" ht="15" hidden="false" customHeight="false" outlineLevel="0" collapsed="false">
      <c r="A1610" s="17" t="n">
        <v>44978</v>
      </c>
      <c r="B1610" s="19" t="n">
        <v>-0.0113668981286039</v>
      </c>
    </row>
    <row r="1611" customFormat="false" ht="15" hidden="false" customHeight="false" outlineLevel="0" collapsed="false">
      <c r="A1611" s="17" t="n">
        <v>44979</v>
      </c>
      <c r="B1611" s="19" t="n">
        <v>-0.00143539782864244</v>
      </c>
    </row>
    <row r="1612" customFormat="false" ht="15" hidden="false" customHeight="false" outlineLevel="0" collapsed="false">
      <c r="A1612" s="17" t="n">
        <v>44980</v>
      </c>
      <c r="B1612" s="19" t="n">
        <v>0.00327205413107756</v>
      </c>
    </row>
    <row r="1613" customFormat="false" ht="15" hidden="false" customHeight="false" outlineLevel="0" collapsed="false">
      <c r="A1613" s="17" t="n">
        <v>44981</v>
      </c>
      <c r="B1613" s="19" t="n">
        <v>-0.00851501703830893</v>
      </c>
    </row>
    <row r="1614" customFormat="false" ht="15" hidden="false" customHeight="false" outlineLevel="0" collapsed="false">
      <c r="A1614" s="17" t="n">
        <v>44984</v>
      </c>
      <c r="B1614" s="19" t="n">
        <v>0.0029731687282355</v>
      </c>
    </row>
    <row r="1615" customFormat="false" ht="15" hidden="false" customHeight="false" outlineLevel="0" collapsed="false">
      <c r="A1615" s="17" t="n">
        <v>44985</v>
      </c>
      <c r="B1615" s="19" t="n">
        <v>-0.000836649410497659</v>
      </c>
    </row>
    <row r="1616" customFormat="false" ht="15" hidden="false" customHeight="false" outlineLevel="0" collapsed="false">
      <c r="A1616" s="17" t="n">
        <v>44986</v>
      </c>
      <c r="B1616" s="19" t="n">
        <v>0.000807512314139114</v>
      </c>
    </row>
    <row r="1617" customFormat="false" ht="15" hidden="false" customHeight="false" outlineLevel="0" collapsed="false">
      <c r="A1617" s="17" t="n">
        <v>44987</v>
      </c>
      <c r="B1617" s="19" t="n">
        <v>0.00102268647762038</v>
      </c>
    </row>
    <row r="1618" customFormat="false" ht="15" hidden="false" customHeight="false" outlineLevel="0" collapsed="false">
      <c r="A1618" s="17" t="n">
        <v>44988</v>
      </c>
      <c r="B1618" s="19" t="n">
        <v>0.0102552435832293</v>
      </c>
    </row>
    <row r="1619" customFormat="false" ht="15" hidden="false" customHeight="false" outlineLevel="0" collapsed="false">
      <c r="A1619" s="17" t="n">
        <v>44991</v>
      </c>
      <c r="B1619" s="19" t="n">
        <v>-0.00184516032120619</v>
      </c>
    </row>
    <row r="1620" customFormat="false" ht="15" hidden="false" customHeight="false" outlineLevel="0" collapsed="false">
      <c r="A1620" s="17" t="n">
        <v>44992</v>
      </c>
      <c r="B1620" s="19" t="n">
        <v>-0.00996499271517193</v>
      </c>
    </row>
    <row r="1621" customFormat="false" ht="15" hidden="false" customHeight="false" outlineLevel="0" collapsed="false">
      <c r="A1621" s="17" t="n">
        <v>44993</v>
      </c>
      <c r="B1621" s="19" t="n">
        <v>0.000925154442806608</v>
      </c>
    </row>
    <row r="1622" customFormat="false" ht="15" hidden="false" customHeight="false" outlineLevel="0" collapsed="false">
      <c r="A1622" s="17" t="n">
        <v>44994</v>
      </c>
      <c r="B1622" s="19" t="n">
        <v>-0.00570169130769216</v>
      </c>
    </row>
    <row r="1623" customFormat="false" ht="15" hidden="false" customHeight="false" outlineLevel="0" collapsed="false">
      <c r="A1623" s="17" t="n">
        <v>44995</v>
      </c>
      <c r="B1623" s="19" t="n">
        <v>-0.000152663677518761</v>
      </c>
    </row>
    <row r="1624" customFormat="false" ht="15" hidden="false" customHeight="false" outlineLevel="0" collapsed="false">
      <c r="A1624" s="17" t="n">
        <v>44998</v>
      </c>
      <c r="B1624" s="19" t="n">
        <v>0.00267919999405586</v>
      </c>
    </row>
    <row r="1625" customFormat="false" ht="15" hidden="false" customHeight="false" outlineLevel="0" collapsed="false">
      <c r="A1625" s="17" t="n">
        <v>44999</v>
      </c>
      <c r="B1625" s="19" t="n">
        <v>0.00275122384013171</v>
      </c>
    </row>
    <row r="1626" customFormat="false" ht="15" hidden="false" customHeight="false" outlineLevel="0" collapsed="false">
      <c r="A1626" s="17" t="n">
        <v>45000</v>
      </c>
      <c r="B1626" s="19" t="n">
        <v>-0.00172056741875204</v>
      </c>
    </row>
    <row r="1627" customFormat="false" ht="15" hidden="false" customHeight="false" outlineLevel="0" collapsed="false">
      <c r="A1627" s="17" t="n">
        <v>45001</v>
      </c>
      <c r="B1627" s="19" t="n">
        <v>0.00393827779013489</v>
      </c>
    </row>
    <row r="1628" customFormat="false" ht="15" hidden="false" customHeight="false" outlineLevel="0" collapsed="false">
      <c r="A1628" s="17" t="n">
        <v>45002</v>
      </c>
      <c r="B1628" s="19" t="n">
        <v>-0.00099651051652272</v>
      </c>
    </row>
    <row r="1629" customFormat="false" ht="15" hidden="false" customHeight="false" outlineLevel="0" collapsed="false">
      <c r="A1629" s="17" t="n">
        <v>45005</v>
      </c>
      <c r="B1629" s="19" t="n">
        <v>0.00405085821306872</v>
      </c>
    </row>
    <row r="1630" customFormat="false" ht="15" hidden="false" customHeight="false" outlineLevel="0" collapsed="false">
      <c r="A1630" s="17" t="n">
        <v>45006</v>
      </c>
      <c r="B1630" s="19" t="n">
        <v>0.00315754207038266</v>
      </c>
    </row>
    <row r="1631" customFormat="false" ht="15" hidden="false" customHeight="false" outlineLevel="0" collapsed="false">
      <c r="A1631" s="17" t="n">
        <v>45007</v>
      </c>
      <c r="B1631" s="19" t="n">
        <v>-0.000479986606136795</v>
      </c>
    </row>
    <row r="1632" customFormat="false" ht="15" hidden="false" customHeight="false" outlineLevel="0" collapsed="false">
      <c r="A1632" s="17" t="n">
        <v>45008</v>
      </c>
      <c r="B1632" s="19" t="n">
        <v>0.00305169627096724</v>
      </c>
    </row>
    <row r="1633" customFormat="false" ht="15" hidden="false" customHeight="false" outlineLevel="0" collapsed="false">
      <c r="A1633" s="17" t="n">
        <v>45009</v>
      </c>
      <c r="B1633" s="19" t="n">
        <v>0.0010720065787091</v>
      </c>
    </row>
    <row r="1634" customFormat="false" ht="15" hidden="false" customHeight="false" outlineLevel="0" collapsed="false">
      <c r="A1634" s="17" t="n">
        <v>45012</v>
      </c>
      <c r="B1634" s="19" t="n">
        <v>-0.0030742011260213</v>
      </c>
    </row>
    <row r="1635" customFormat="false" ht="15" hidden="false" customHeight="false" outlineLevel="0" collapsed="false">
      <c r="A1635" s="17" t="n">
        <v>45013</v>
      </c>
      <c r="B1635" s="19" t="n">
        <v>0.000882782663385262</v>
      </c>
    </row>
    <row r="1636" customFormat="false" ht="15" hidden="false" customHeight="false" outlineLevel="0" collapsed="false">
      <c r="A1636" s="17" t="n">
        <v>45014</v>
      </c>
      <c r="B1636" s="19" t="n">
        <v>0.00541900932562212</v>
      </c>
    </row>
    <row r="1637" customFormat="false" ht="15" hidden="false" customHeight="false" outlineLevel="0" collapsed="false">
      <c r="A1637" s="17" t="n">
        <v>45015</v>
      </c>
      <c r="B1637" s="19" t="n">
        <v>0.00507753398708633</v>
      </c>
    </row>
    <row r="1638" customFormat="false" ht="15" hidden="false" customHeight="false" outlineLevel="0" collapsed="false">
      <c r="A1638" s="17" t="n">
        <v>45016</v>
      </c>
      <c r="B1638" s="19" t="n">
        <v>0.00611954370354995</v>
      </c>
    </row>
    <row r="1639" customFormat="false" ht="15" hidden="false" customHeight="false" outlineLevel="0" collapsed="false">
      <c r="A1639" s="17" t="n">
        <v>45019</v>
      </c>
      <c r="B1639" s="19" t="n">
        <v>0.0042158924912965</v>
      </c>
    </row>
    <row r="1640" customFormat="false" ht="15" hidden="false" customHeight="false" outlineLevel="0" collapsed="false">
      <c r="A1640" s="17" t="n">
        <v>45020</v>
      </c>
      <c r="B1640" s="19" t="n">
        <v>0.00139337183807675</v>
      </c>
    </row>
    <row r="1641" customFormat="false" ht="15" hidden="false" customHeight="false" outlineLevel="0" collapsed="false">
      <c r="A1641" s="17" t="n">
        <v>45021</v>
      </c>
      <c r="B1641" s="19" t="n">
        <v>-0.00141030569070721</v>
      </c>
    </row>
    <row r="1642" customFormat="false" ht="15" hidden="false" customHeight="false" outlineLevel="0" collapsed="false">
      <c r="A1642" s="17" t="n">
        <v>45022</v>
      </c>
      <c r="B1642" s="19" t="n">
        <v>0.00125411680604626</v>
      </c>
    </row>
    <row r="1643" customFormat="false" ht="15" hidden="false" customHeight="false" outlineLevel="0" collapsed="false">
      <c r="A1643" s="17" t="n">
        <v>45026</v>
      </c>
      <c r="B1643" s="19" t="n">
        <v>-0.00244544887379761</v>
      </c>
    </row>
    <row r="1644" customFormat="false" ht="15" hidden="false" customHeight="false" outlineLevel="0" collapsed="false">
      <c r="A1644" s="17" t="n">
        <v>45027</v>
      </c>
      <c r="B1644" s="19" t="n">
        <v>0.00193520219558585</v>
      </c>
    </row>
    <row r="1645" customFormat="false" ht="15" hidden="false" customHeight="false" outlineLevel="0" collapsed="false">
      <c r="A1645" s="17" t="n">
        <v>45028</v>
      </c>
      <c r="B1645" s="19" t="n">
        <v>0.000193345308421078</v>
      </c>
    </row>
    <row r="1646" customFormat="false" ht="15" hidden="false" customHeight="false" outlineLevel="0" collapsed="false">
      <c r="A1646" s="17" t="n">
        <v>45029</v>
      </c>
      <c r="B1646" s="19" t="n">
        <v>0.00606572291758356</v>
      </c>
    </row>
    <row r="1647" customFormat="false" ht="15" hidden="false" customHeight="false" outlineLevel="0" collapsed="false">
      <c r="A1647" s="17" t="n">
        <v>45030</v>
      </c>
      <c r="B1647" s="19" t="n">
        <v>-0.00491759185405571</v>
      </c>
    </row>
    <row r="1648" customFormat="false" ht="15" hidden="false" customHeight="false" outlineLevel="0" collapsed="false">
      <c r="A1648" s="17" t="n">
        <v>45033</v>
      </c>
      <c r="B1648" s="19" t="n">
        <v>-0.00013205198281574</v>
      </c>
    </row>
    <row r="1649" customFormat="false" ht="15" hidden="false" customHeight="false" outlineLevel="0" collapsed="false">
      <c r="A1649" s="17" t="n">
        <v>45034</v>
      </c>
      <c r="B1649" s="19" t="n">
        <v>0.00120063995608422</v>
      </c>
    </row>
    <row r="1650" customFormat="false" ht="15" hidden="false" customHeight="false" outlineLevel="0" collapsed="false">
      <c r="A1650" s="17" t="n">
        <v>45035</v>
      </c>
      <c r="B1650" s="19" t="n">
        <v>-0.00159355978867426</v>
      </c>
    </row>
    <row r="1651" customFormat="false" ht="15" hidden="false" customHeight="false" outlineLevel="0" collapsed="false">
      <c r="A1651" s="17" t="n">
        <v>45036</v>
      </c>
      <c r="B1651" s="19" t="n">
        <v>9.6701108185826E-005</v>
      </c>
    </row>
    <row r="1652" customFormat="false" ht="15" hidden="false" customHeight="false" outlineLevel="0" collapsed="false">
      <c r="A1652" s="17" t="n">
        <v>45037</v>
      </c>
      <c r="B1652" s="19" t="n">
        <v>-0.000842103373507097</v>
      </c>
    </row>
    <row r="1653" customFormat="false" ht="15" hidden="false" customHeight="false" outlineLevel="0" collapsed="false">
      <c r="A1653" s="17" t="n">
        <v>45040</v>
      </c>
      <c r="B1653" s="19" t="n">
        <v>0.00196658709863073</v>
      </c>
    </row>
    <row r="1654" customFormat="false" ht="15" hidden="false" customHeight="false" outlineLevel="0" collapsed="false">
      <c r="A1654" s="17" t="n">
        <v>45041</v>
      </c>
      <c r="B1654" s="19" t="n">
        <v>-0.00403860917533139</v>
      </c>
    </row>
    <row r="1655" customFormat="false" ht="15" hidden="false" customHeight="false" outlineLevel="0" collapsed="false">
      <c r="A1655" s="17" t="n">
        <v>45042</v>
      </c>
      <c r="B1655" s="19" t="n">
        <v>-0.00259357490962042</v>
      </c>
    </row>
    <row r="1656" customFormat="false" ht="15" hidden="false" customHeight="false" outlineLevel="0" collapsed="false">
      <c r="A1656" s="17" t="n">
        <v>45043</v>
      </c>
      <c r="B1656" s="19" t="n">
        <v>0.00602185026914337</v>
      </c>
    </row>
    <row r="1657" customFormat="false" ht="15" hidden="false" customHeight="false" outlineLevel="0" collapsed="false">
      <c r="A1657" s="17" t="n">
        <v>45044</v>
      </c>
      <c r="B1657" s="19" t="n">
        <v>0.0045924564490325</v>
      </c>
    </row>
    <row r="1658" customFormat="false" ht="15" hidden="false" customHeight="false" outlineLevel="0" collapsed="false">
      <c r="A1658" s="17" t="n">
        <v>45047</v>
      </c>
      <c r="B1658" s="19" t="n">
        <v>-0.00483865834911768</v>
      </c>
    </row>
    <row r="1659" customFormat="false" ht="15" hidden="false" customHeight="false" outlineLevel="0" collapsed="false">
      <c r="A1659" s="17" t="n">
        <v>45048</v>
      </c>
      <c r="B1659" s="19" t="n">
        <v>-0.000761519233858254</v>
      </c>
    </row>
    <row r="1660" customFormat="false" ht="15" hidden="false" customHeight="false" outlineLevel="0" collapsed="false">
      <c r="A1660" s="17" t="n">
        <v>45049</v>
      </c>
      <c r="B1660" s="19" t="n">
        <v>0.000802902270525374</v>
      </c>
    </row>
    <row r="1661" customFormat="false" ht="15" hidden="false" customHeight="false" outlineLevel="0" collapsed="false">
      <c r="A1661" s="17" t="n">
        <v>45050</v>
      </c>
      <c r="B1661" s="19" t="n">
        <v>-0.000866364886625171</v>
      </c>
    </row>
    <row r="1662" customFormat="false" ht="15" hidden="false" customHeight="false" outlineLevel="0" collapsed="false">
      <c r="A1662" s="17" t="n">
        <v>45051</v>
      </c>
      <c r="B1662" s="19" t="n">
        <v>0.00521666926722242</v>
      </c>
    </row>
    <row r="1663" customFormat="false" ht="15" hidden="false" customHeight="false" outlineLevel="0" collapsed="false">
      <c r="A1663" s="17" t="n">
        <v>45054</v>
      </c>
      <c r="B1663" s="19" t="n">
        <v>-0.00153215365053894</v>
      </c>
    </row>
    <row r="1664" customFormat="false" ht="15" hidden="false" customHeight="false" outlineLevel="0" collapsed="false">
      <c r="A1664" s="17" t="n">
        <v>45055</v>
      </c>
      <c r="B1664" s="19" t="n">
        <v>-0.00185209118486041</v>
      </c>
    </row>
    <row r="1665" customFormat="false" ht="15" hidden="false" customHeight="false" outlineLevel="0" collapsed="false">
      <c r="A1665" s="17" t="n">
        <v>45056</v>
      </c>
      <c r="B1665" s="19" t="n">
        <v>0.00299127094945417</v>
      </c>
    </row>
    <row r="1666" customFormat="false" ht="15" hidden="false" customHeight="false" outlineLevel="0" collapsed="false">
      <c r="A1666" s="17" t="n">
        <v>45057</v>
      </c>
      <c r="B1666" s="19" t="n">
        <v>-0.000895186486046251</v>
      </c>
    </row>
    <row r="1667" customFormat="false" ht="15" hidden="false" customHeight="false" outlineLevel="0" collapsed="false">
      <c r="A1667" s="17" t="n">
        <v>45058</v>
      </c>
      <c r="B1667" s="19" t="n">
        <v>-0.00341988771932988</v>
      </c>
    </row>
    <row r="1668" customFormat="false" ht="15" hidden="false" customHeight="false" outlineLevel="0" collapsed="false">
      <c r="A1668" s="17" t="n">
        <v>45061</v>
      </c>
      <c r="B1668" s="19" t="n">
        <v>0.00187117940151538</v>
      </c>
    </row>
    <row r="1669" customFormat="false" ht="15" hidden="false" customHeight="false" outlineLevel="0" collapsed="false">
      <c r="A1669" s="17" t="n">
        <v>45062</v>
      </c>
      <c r="B1669" s="19" t="n">
        <v>-0.00592766175435633</v>
      </c>
    </row>
    <row r="1670" customFormat="false" ht="15" hidden="false" customHeight="false" outlineLevel="0" collapsed="false">
      <c r="A1670" s="17" t="n">
        <v>45063</v>
      </c>
      <c r="B1670" s="19" t="n">
        <v>0.00388001164857421</v>
      </c>
    </row>
    <row r="1671" customFormat="false" ht="15" hidden="false" customHeight="false" outlineLevel="0" collapsed="false">
      <c r="A1671" s="17" t="n">
        <v>45064</v>
      </c>
      <c r="B1671" s="19" t="n">
        <v>-0.00046716376360334</v>
      </c>
    </row>
    <row r="1672" customFormat="false" ht="15" hidden="false" customHeight="false" outlineLevel="0" collapsed="false">
      <c r="A1672" s="17" t="n">
        <v>45065</v>
      </c>
      <c r="B1672" s="19" t="n">
        <v>-0.000400176201010516</v>
      </c>
    </row>
    <row r="1673" customFormat="false" ht="15" hidden="false" customHeight="false" outlineLevel="0" collapsed="false">
      <c r="A1673" s="17" t="n">
        <v>45068</v>
      </c>
      <c r="B1673" s="19" t="n">
        <v>0.000781531006164515</v>
      </c>
    </row>
    <row r="1674" customFormat="false" ht="15" hidden="false" customHeight="false" outlineLevel="0" collapsed="false">
      <c r="A1674" s="17" t="n">
        <v>45069</v>
      </c>
      <c r="B1674" s="19" t="n">
        <v>-0.00495474579877731</v>
      </c>
    </row>
    <row r="1675" customFormat="false" ht="15" hidden="false" customHeight="false" outlineLevel="0" collapsed="false">
      <c r="A1675" s="17" t="n">
        <v>45070</v>
      </c>
      <c r="B1675" s="19" t="n">
        <v>-0.00599624699703605</v>
      </c>
    </row>
    <row r="1676" customFormat="false" ht="15" hidden="false" customHeight="false" outlineLevel="0" collapsed="false">
      <c r="A1676" s="17" t="n">
        <v>45071</v>
      </c>
      <c r="B1676" s="19" t="n">
        <v>-0.00120920459336693</v>
      </c>
    </row>
    <row r="1677" customFormat="false" ht="15" hidden="false" customHeight="false" outlineLevel="0" collapsed="false">
      <c r="A1677" s="17" t="n">
        <v>45072</v>
      </c>
      <c r="B1677" s="19" t="n">
        <v>0.00639357543777375</v>
      </c>
    </row>
    <row r="1678" customFormat="false" ht="15" hidden="false" customHeight="false" outlineLevel="0" collapsed="false">
      <c r="A1678" s="17" t="n">
        <v>45076</v>
      </c>
      <c r="B1678" s="19" t="n">
        <v>0.00108535134586685</v>
      </c>
    </row>
    <row r="1679" customFormat="false" ht="15" hidden="false" customHeight="false" outlineLevel="0" collapsed="false">
      <c r="A1679" s="17" t="n">
        <v>45077</v>
      </c>
      <c r="B1679" s="19" t="n">
        <v>-0.00204368622672091</v>
      </c>
    </row>
    <row r="1680" customFormat="false" ht="15" hidden="false" customHeight="false" outlineLevel="0" collapsed="false">
      <c r="A1680" s="17" t="n">
        <v>45078</v>
      </c>
      <c r="B1680" s="19" t="n">
        <v>0.00693543086421444</v>
      </c>
    </row>
    <row r="1681" customFormat="false" ht="15" hidden="false" customHeight="false" outlineLevel="0" collapsed="false">
      <c r="A1681" s="17" t="n">
        <v>45079</v>
      </c>
      <c r="B1681" s="19" t="n">
        <v>0.00438395974996619</v>
      </c>
    </row>
    <row r="1682" customFormat="false" ht="15" hidden="false" customHeight="false" outlineLevel="0" collapsed="false">
      <c r="A1682" s="17" t="n">
        <v>45082</v>
      </c>
      <c r="B1682" s="19" t="n">
        <v>-0.000855150087364365</v>
      </c>
    </row>
    <row r="1683" customFormat="false" ht="15" hidden="false" customHeight="false" outlineLevel="0" collapsed="false">
      <c r="A1683" s="17" t="n">
        <v>45083</v>
      </c>
      <c r="B1683" s="19" t="n">
        <v>0.00323795623224066</v>
      </c>
    </row>
    <row r="1684" customFormat="false" ht="15" hidden="false" customHeight="false" outlineLevel="0" collapsed="false">
      <c r="A1684" s="17" t="n">
        <v>45084</v>
      </c>
      <c r="B1684" s="19" t="n">
        <v>-0.00382973378824203</v>
      </c>
    </row>
    <row r="1685" customFormat="false" ht="15" hidden="false" customHeight="false" outlineLevel="0" collapsed="false">
      <c r="A1685" s="17" t="n">
        <v>45085</v>
      </c>
      <c r="B1685" s="19" t="n">
        <v>0.00527139212576233</v>
      </c>
    </row>
    <row r="1686" customFormat="false" ht="15" hidden="false" customHeight="false" outlineLevel="0" collapsed="false">
      <c r="A1686" s="17" t="n">
        <v>45086</v>
      </c>
      <c r="B1686" s="19" t="n">
        <v>-0.000794754498995354</v>
      </c>
    </row>
    <row r="1687" customFormat="false" ht="15" hidden="false" customHeight="false" outlineLevel="0" collapsed="false">
      <c r="A1687" s="17" t="n">
        <v>45089</v>
      </c>
      <c r="B1687" s="19" t="n">
        <v>0.00340696495569404</v>
      </c>
    </row>
    <row r="1688" customFormat="false" ht="15" hidden="false" customHeight="false" outlineLevel="0" collapsed="false">
      <c r="A1688" s="17" t="n">
        <v>45090</v>
      </c>
      <c r="B1688" s="19" t="n">
        <v>0.00121394306209677</v>
      </c>
    </row>
    <row r="1689" customFormat="false" ht="15" hidden="false" customHeight="false" outlineLevel="0" collapsed="false">
      <c r="A1689" s="17" t="n">
        <v>45091</v>
      </c>
      <c r="B1689" s="19" t="n">
        <v>0.00183338717745452</v>
      </c>
    </row>
    <row r="1690" customFormat="false" ht="15" hidden="false" customHeight="false" outlineLevel="0" collapsed="false">
      <c r="A1690" s="17" t="n">
        <v>45092</v>
      </c>
      <c r="B1690" s="19" t="n">
        <v>0.00753728537400389</v>
      </c>
    </row>
    <row r="1691" customFormat="false" ht="15" hidden="false" customHeight="false" outlineLevel="0" collapsed="false">
      <c r="A1691" s="17" t="n">
        <v>45093</v>
      </c>
      <c r="B1691" s="19" t="n">
        <v>-0.00209736967992269</v>
      </c>
    </row>
    <row r="1692" customFormat="false" ht="15" hidden="false" customHeight="false" outlineLevel="0" collapsed="false">
      <c r="A1692" s="17" t="n">
        <v>45097</v>
      </c>
      <c r="B1692" s="19" t="n">
        <v>-0.00456277764181157</v>
      </c>
    </row>
    <row r="1693" customFormat="false" ht="15" hidden="false" customHeight="false" outlineLevel="0" collapsed="false">
      <c r="A1693" s="17" t="n">
        <v>45098</v>
      </c>
      <c r="B1693" s="19" t="n">
        <v>-0.0011901618455481</v>
      </c>
    </row>
    <row r="1694" customFormat="false" ht="15" hidden="false" customHeight="false" outlineLevel="0" collapsed="false">
      <c r="A1694" s="17" t="n">
        <v>45099</v>
      </c>
      <c r="B1694" s="19" t="n">
        <v>-0.00295671513625706</v>
      </c>
    </row>
    <row r="1695" customFormat="false" ht="15" hidden="false" customHeight="false" outlineLevel="0" collapsed="false">
      <c r="A1695" s="17" t="n">
        <v>45100</v>
      </c>
      <c r="B1695" s="19" t="n">
        <v>-0.00359617842553983</v>
      </c>
    </row>
    <row r="1696" customFormat="false" ht="15" hidden="false" customHeight="false" outlineLevel="0" collapsed="false">
      <c r="A1696" s="17" t="n">
        <v>45103</v>
      </c>
      <c r="B1696" s="19" t="n">
        <v>0.000708086633695704</v>
      </c>
    </row>
    <row r="1697" customFormat="false" ht="15" hidden="false" customHeight="false" outlineLevel="0" collapsed="false">
      <c r="A1697" s="17" t="n">
        <v>45104</v>
      </c>
      <c r="B1697" s="19" t="n">
        <v>0.00384981739739754</v>
      </c>
    </row>
    <row r="1698" customFormat="false" ht="15" hidden="false" customHeight="false" outlineLevel="0" collapsed="false">
      <c r="A1698" s="17" t="n">
        <v>45105</v>
      </c>
      <c r="B1698" s="19" t="n">
        <v>0.000965152476174014</v>
      </c>
    </row>
    <row r="1699" customFormat="false" ht="15" hidden="false" customHeight="false" outlineLevel="0" collapsed="false">
      <c r="A1699" s="17" t="n">
        <v>45106</v>
      </c>
      <c r="B1699" s="19" t="n">
        <v>-0.00142817889675084</v>
      </c>
    </row>
    <row r="1700" customFormat="false" ht="15" hidden="false" customHeight="false" outlineLevel="0" collapsed="false">
      <c r="A1700" s="17" t="n">
        <v>45107</v>
      </c>
      <c r="B1700" s="19" t="n">
        <v>0.00630573421334346</v>
      </c>
    </row>
    <row r="1701" customFormat="false" ht="15" hidden="false" customHeight="false" outlineLevel="0" collapsed="false">
      <c r="A1701" s="17" t="n">
        <v>45110</v>
      </c>
      <c r="B1701" s="19" t="n">
        <v>0.000745696060034273</v>
      </c>
    </row>
    <row r="1702" customFormat="false" ht="15" hidden="false" customHeight="false" outlineLevel="0" collapsed="false">
      <c r="A1702" s="17" t="n">
        <v>45112</v>
      </c>
      <c r="B1702" s="19" t="n">
        <v>-0.00329547315324119</v>
      </c>
    </row>
    <row r="1703" customFormat="false" ht="15" hidden="false" customHeight="false" outlineLevel="0" collapsed="false">
      <c r="A1703" s="17" t="n">
        <v>45113</v>
      </c>
      <c r="B1703" s="19" t="n">
        <v>-0.00793806899393945</v>
      </c>
    </row>
    <row r="1704" customFormat="false" ht="15" hidden="false" customHeight="false" outlineLevel="0" collapsed="false">
      <c r="A1704" s="17" t="n">
        <v>45114</v>
      </c>
      <c r="B1704" s="19" t="n">
        <v>0.00153217309487652</v>
      </c>
    </row>
    <row r="1705" customFormat="false" ht="15" hidden="false" customHeight="false" outlineLevel="0" collapsed="false">
      <c r="A1705" s="17" t="n">
        <v>45117</v>
      </c>
      <c r="B1705" s="19" t="n">
        <v>0.00282507077149985</v>
      </c>
    </row>
    <row r="1706" customFormat="false" ht="15" hidden="false" customHeight="false" outlineLevel="0" collapsed="false">
      <c r="A1706" s="17" t="n">
        <v>45118</v>
      </c>
      <c r="B1706" s="19" t="n">
        <v>0.00495739178745569</v>
      </c>
    </row>
    <row r="1707" customFormat="false" ht="15" hidden="false" customHeight="false" outlineLevel="0" collapsed="false">
      <c r="A1707" s="17" t="n">
        <v>45119</v>
      </c>
      <c r="B1707" s="19" t="n">
        <v>0.00976648217731801</v>
      </c>
    </row>
    <row r="1708" customFormat="false" ht="15" hidden="false" customHeight="false" outlineLevel="0" collapsed="false">
      <c r="A1708" s="17" t="n">
        <v>45120</v>
      </c>
      <c r="B1708" s="19" t="n">
        <v>0.00678487632326763</v>
      </c>
    </row>
    <row r="1709" customFormat="false" ht="15" hidden="false" customHeight="false" outlineLevel="0" collapsed="false">
      <c r="A1709" s="17" t="n">
        <v>45121</v>
      </c>
      <c r="B1709" s="19" t="n">
        <v>-0.00362339269665268</v>
      </c>
    </row>
    <row r="1710" customFormat="false" ht="15" hidden="false" customHeight="false" outlineLevel="0" collapsed="false">
      <c r="A1710" s="17" t="n">
        <v>45124</v>
      </c>
      <c r="B1710" s="19" t="n">
        <v>0.0015052948552774</v>
      </c>
    </row>
    <row r="1711" customFormat="false" ht="15" hidden="false" customHeight="false" outlineLevel="0" collapsed="false">
      <c r="A1711" s="17" t="n">
        <v>45125</v>
      </c>
      <c r="B1711" s="19" t="n">
        <v>0.00329620351868543</v>
      </c>
    </row>
    <row r="1712" customFormat="false" ht="15" hidden="false" customHeight="false" outlineLevel="0" collapsed="false">
      <c r="A1712" s="17" t="n">
        <v>45126</v>
      </c>
      <c r="B1712" s="19" t="n">
        <v>0.00163564561997021</v>
      </c>
    </row>
    <row r="1713" customFormat="false" ht="15" hidden="false" customHeight="false" outlineLevel="0" collapsed="false">
      <c r="A1713" s="17" t="n">
        <v>45127</v>
      </c>
      <c r="B1713" s="19" t="n">
        <v>-0.00447842473260451</v>
      </c>
    </row>
    <row r="1714" customFormat="false" ht="15" hidden="false" customHeight="false" outlineLevel="0" collapsed="false">
      <c r="A1714" s="17" t="n">
        <v>45128</v>
      </c>
      <c r="B1714" s="19" t="n">
        <v>9.42000503425522E-005</v>
      </c>
    </row>
    <row r="1715" customFormat="false" ht="15" hidden="false" customHeight="false" outlineLevel="0" collapsed="false">
      <c r="A1715" s="17" t="n">
        <v>45131</v>
      </c>
      <c r="B1715" s="19" t="n">
        <v>0.00183860100525579</v>
      </c>
    </row>
    <row r="1716" customFormat="false" ht="15" hidden="false" customHeight="false" outlineLevel="0" collapsed="false">
      <c r="A1716" s="17" t="n">
        <v>45132</v>
      </c>
      <c r="B1716" s="19" t="n">
        <v>0.00114328423541776</v>
      </c>
    </row>
    <row r="1717" customFormat="false" ht="15" hidden="false" customHeight="false" outlineLevel="0" collapsed="false">
      <c r="A1717" s="17" t="n">
        <v>45133</v>
      </c>
      <c r="B1717" s="19" t="n">
        <v>0.00218469916306141</v>
      </c>
    </row>
    <row r="1718" customFormat="false" ht="15" hidden="false" customHeight="false" outlineLevel="0" collapsed="false">
      <c r="A1718" s="17" t="n">
        <v>45134</v>
      </c>
      <c r="B1718" s="19" t="n">
        <v>-0.00807261061048359</v>
      </c>
    </row>
    <row r="1719" customFormat="false" ht="15" hidden="false" customHeight="false" outlineLevel="0" collapsed="false">
      <c r="A1719" s="17" t="n">
        <v>45135</v>
      </c>
      <c r="B1719" s="19" t="n">
        <v>0.0068065541588298</v>
      </c>
    </row>
    <row r="1720" customFormat="false" ht="15" hidden="false" customHeight="false" outlineLevel="0" collapsed="false">
      <c r="A1720" s="17" t="n">
        <v>45138</v>
      </c>
      <c r="B1720" s="19" t="n">
        <v>0.0013870355526977</v>
      </c>
    </row>
    <row r="1721" customFormat="false" ht="15" hidden="false" customHeight="false" outlineLevel="0" collapsed="false">
      <c r="A1721" s="17" t="n">
        <v>45139</v>
      </c>
      <c r="B1721" s="19" t="n">
        <v>-0.00576852827542007</v>
      </c>
    </row>
    <row r="1722" customFormat="false" ht="15" hidden="false" customHeight="false" outlineLevel="0" collapsed="false">
      <c r="A1722" s="17" t="n">
        <v>45140</v>
      </c>
      <c r="B1722" s="19" t="n">
        <v>-0.0088599072012111</v>
      </c>
    </row>
    <row r="1723" customFormat="false" ht="15" hidden="false" customHeight="false" outlineLevel="0" collapsed="false">
      <c r="A1723" s="17" t="n">
        <v>45141</v>
      </c>
      <c r="B1723" s="19" t="n">
        <v>-0.00338250189213618</v>
      </c>
    </row>
    <row r="1724" customFormat="false" ht="15" hidden="false" customHeight="false" outlineLevel="0" collapsed="false">
      <c r="A1724" s="17" t="n">
        <v>45142</v>
      </c>
      <c r="B1724" s="19" t="n">
        <v>0.00245743108720475</v>
      </c>
    </row>
    <row r="1725" customFormat="false" ht="15" hidden="false" customHeight="false" outlineLevel="0" collapsed="false">
      <c r="A1725" s="17" t="n">
        <v>45145</v>
      </c>
      <c r="B1725" s="19" t="n">
        <v>0.00224832575129574</v>
      </c>
    </row>
    <row r="1726" customFormat="false" ht="15" hidden="false" customHeight="false" outlineLevel="0" collapsed="false">
      <c r="A1726" s="17" t="n">
        <v>45146</v>
      </c>
      <c r="B1726" s="19" t="n">
        <v>-0.00221232109307123</v>
      </c>
    </row>
    <row r="1727" customFormat="false" ht="15" hidden="false" customHeight="false" outlineLevel="0" collapsed="false">
      <c r="A1727" s="17" t="n">
        <v>45147</v>
      </c>
      <c r="B1727" s="19" t="n">
        <v>-0.00212153672248572</v>
      </c>
    </row>
    <row r="1728" customFormat="false" ht="15" hidden="false" customHeight="false" outlineLevel="0" collapsed="false">
      <c r="A1728" s="17" t="n">
        <v>45148</v>
      </c>
      <c r="B1728" s="19" t="n">
        <v>-0.00129881293491607</v>
      </c>
    </row>
    <row r="1729" customFormat="false" ht="15" hidden="false" customHeight="false" outlineLevel="0" collapsed="false">
      <c r="A1729" s="17" t="n">
        <v>45149</v>
      </c>
      <c r="B1729" s="19" t="n">
        <v>-0.0025381581016467</v>
      </c>
    </row>
    <row r="1730" customFormat="false" ht="15" hidden="false" customHeight="false" outlineLevel="0" collapsed="false">
      <c r="A1730" s="17" t="n">
        <v>45152</v>
      </c>
      <c r="B1730" s="19" t="n">
        <v>-0.000104356954201523</v>
      </c>
    </row>
    <row r="1731" customFormat="false" ht="15" hidden="false" customHeight="false" outlineLevel="0" collapsed="false">
      <c r="A1731" s="17" t="n">
        <v>45153</v>
      </c>
      <c r="B1731" s="19" t="n">
        <v>-0.00680332055499588</v>
      </c>
    </row>
    <row r="1732" customFormat="false" ht="15" hidden="false" customHeight="false" outlineLevel="0" collapsed="false">
      <c r="A1732" s="17" t="n">
        <v>45154</v>
      </c>
      <c r="B1732" s="19" t="n">
        <v>-0.0050617642905344</v>
      </c>
    </row>
    <row r="1733" customFormat="false" ht="15" hidden="false" customHeight="false" outlineLevel="0" collapsed="false">
      <c r="A1733" s="17" t="n">
        <v>45155</v>
      </c>
      <c r="B1733" s="19" t="n">
        <v>-0.00322129505634605</v>
      </c>
    </row>
    <row r="1734" customFormat="false" ht="15" hidden="false" customHeight="false" outlineLevel="0" collapsed="false">
      <c r="A1734" s="17" t="n">
        <v>45156</v>
      </c>
      <c r="B1734" s="19" t="n">
        <v>0.000964920844587658</v>
      </c>
    </row>
    <row r="1735" customFormat="false" ht="15" hidden="false" customHeight="false" outlineLevel="0" collapsed="false">
      <c r="A1735" s="17" t="n">
        <v>45159</v>
      </c>
      <c r="B1735" s="19" t="n">
        <v>0.000300702622668014</v>
      </c>
    </row>
    <row r="1736" customFormat="false" ht="15" hidden="false" customHeight="false" outlineLevel="0" collapsed="false">
      <c r="A1736" s="17" t="n">
        <v>45160</v>
      </c>
      <c r="B1736" s="19" t="n">
        <v>-0.000428507500777164</v>
      </c>
    </row>
    <row r="1737" customFormat="false" ht="15" hidden="false" customHeight="false" outlineLevel="0" collapsed="false">
      <c r="A1737" s="17" t="n">
        <v>45161</v>
      </c>
      <c r="B1737" s="19" t="n">
        <v>0.00937718051364977</v>
      </c>
    </row>
    <row r="1738" customFormat="false" ht="15" hidden="false" customHeight="false" outlineLevel="0" collapsed="false">
      <c r="A1738" s="17" t="n">
        <v>45162</v>
      </c>
      <c r="B1738" s="19" t="n">
        <v>-0.00632650797065526</v>
      </c>
    </row>
    <row r="1739" customFormat="false" ht="15" hidden="false" customHeight="false" outlineLevel="0" collapsed="false">
      <c r="A1739" s="17" t="n">
        <v>45163</v>
      </c>
      <c r="B1739" s="19" t="n">
        <v>0.00239006675858478</v>
      </c>
    </row>
    <row r="1740" customFormat="false" ht="15" hidden="false" customHeight="false" outlineLevel="0" collapsed="false">
      <c r="A1740" s="17" t="n">
        <v>45166</v>
      </c>
      <c r="B1740" s="19" t="n">
        <v>0.00445654579679022</v>
      </c>
    </row>
    <row r="1741" customFormat="false" ht="15" hidden="false" customHeight="false" outlineLevel="0" collapsed="false">
      <c r="A1741" s="17" t="n">
        <v>45167</v>
      </c>
      <c r="B1741" s="19" t="n">
        <v>0.00870930997215691</v>
      </c>
    </row>
    <row r="1742" customFormat="false" ht="15" hidden="false" customHeight="false" outlineLevel="0" collapsed="false">
      <c r="A1742" s="17" t="n">
        <v>45168</v>
      </c>
      <c r="B1742" s="19" t="n">
        <v>0.0012871997213757</v>
      </c>
    </row>
    <row r="1743" customFormat="false" ht="15" hidden="false" customHeight="false" outlineLevel="0" collapsed="false">
      <c r="A1743" s="17" t="n">
        <v>45169</v>
      </c>
      <c r="B1743" s="19" t="n">
        <v>-0.00113480203856753</v>
      </c>
    </row>
    <row r="1744" customFormat="false" ht="15" hidden="false" customHeight="false" outlineLevel="0" collapsed="false">
      <c r="A1744" s="17" t="n">
        <v>45170</v>
      </c>
      <c r="B1744" s="19" t="n">
        <v>1.0120047633011E-005</v>
      </c>
    </row>
    <row r="1745" customFormat="false" ht="15" hidden="false" customHeight="false" outlineLevel="0" collapsed="false">
      <c r="A1745" s="17" t="n">
        <v>45174</v>
      </c>
      <c r="B1745" s="19" t="n">
        <v>-0.00564252411891864</v>
      </c>
    </row>
    <row r="1746" customFormat="false" ht="15" hidden="false" customHeight="false" outlineLevel="0" collapsed="false">
      <c r="A1746" s="17" t="n">
        <v>45175</v>
      </c>
      <c r="B1746" s="19" t="n">
        <v>-0.00359584906996791</v>
      </c>
    </row>
    <row r="1747" customFormat="false" ht="15" hidden="false" customHeight="false" outlineLevel="0" collapsed="false">
      <c r="A1747" s="17" t="n">
        <v>45176</v>
      </c>
      <c r="B1747" s="19" t="n">
        <v>-0.000252984802190603</v>
      </c>
    </row>
    <row r="1748" customFormat="false" ht="15" hidden="false" customHeight="false" outlineLevel="0" collapsed="false">
      <c r="A1748" s="17" t="n">
        <v>45177</v>
      </c>
      <c r="B1748" s="19" t="n">
        <v>0.000594467827922607</v>
      </c>
    </row>
    <row r="1749" customFormat="false" ht="15" hidden="false" customHeight="false" outlineLevel="0" collapsed="false">
      <c r="A1749" s="17" t="n">
        <v>45180</v>
      </c>
      <c r="B1749" s="19" t="n">
        <v>0.00325030553405936</v>
      </c>
    </row>
    <row r="1750" customFormat="false" ht="15" hidden="false" customHeight="false" outlineLevel="0" collapsed="false">
      <c r="A1750" s="17" t="n">
        <v>45181</v>
      </c>
      <c r="B1750" s="19" t="n">
        <v>-0.00217387744059538</v>
      </c>
    </row>
    <row r="1751" customFormat="false" ht="15" hidden="false" customHeight="false" outlineLevel="0" collapsed="false">
      <c r="A1751" s="17" t="n">
        <v>45182</v>
      </c>
      <c r="B1751" s="19" t="n">
        <v>-9.75982768598449E-005</v>
      </c>
    </row>
    <row r="1752" customFormat="false" ht="15" hidden="false" customHeight="false" outlineLevel="0" collapsed="false">
      <c r="A1752" s="17" t="n">
        <v>45183</v>
      </c>
      <c r="B1752" s="19" t="n">
        <v>0.00387218403893552</v>
      </c>
    </row>
    <row r="1753" customFormat="false" ht="15" hidden="false" customHeight="false" outlineLevel="0" collapsed="false">
      <c r="A1753" s="17" t="n">
        <v>45184</v>
      </c>
      <c r="B1753" s="19" t="n">
        <v>-0.00397074849576662</v>
      </c>
    </row>
    <row r="1754" customFormat="false" ht="15" hidden="false" customHeight="false" outlineLevel="0" collapsed="false">
      <c r="A1754" s="17" t="n">
        <v>45187</v>
      </c>
      <c r="B1754" s="19" t="n">
        <v>-9.9406314690853E-006</v>
      </c>
    </row>
    <row r="1755" customFormat="false" ht="15" hidden="false" customHeight="false" outlineLevel="0" collapsed="false">
      <c r="A1755" s="17" t="n">
        <v>45188</v>
      </c>
      <c r="B1755" s="19" t="n">
        <v>-0.00198070769612568</v>
      </c>
    </row>
    <row r="1756" customFormat="false" ht="15" hidden="false" customHeight="false" outlineLevel="0" collapsed="false">
      <c r="A1756" s="17" t="n">
        <v>45189</v>
      </c>
      <c r="B1756" s="19" t="n">
        <v>-0.00303369682533861</v>
      </c>
    </row>
    <row r="1757" customFormat="false" ht="15" hidden="false" customHeight="false" outlineLevel="0" collapsed="false">
      <c r="A1757" s="17" t="n">
        <v>45190</v>
      </c>
      <c r="B1757" s="19" t="n">
        <v>-0.0105555020396159</v>
      </c>
    </row>
    <row r="1758" customFormat="false" ht="15" hidden="false" customHeight="false" outlineLevel="0" collapsed="false">
      <c r="A1758" s="17" t="n">
        <v>45191</v>
      </c>
      <c r="B1758" s="19" t="n">
        <v>0.0018508457634443</v>
      </c>
    </row>
    <row r="1759" customFormat="false" ht="15" hidden="false" customHeight="false" outlineLevel="0" collapsed="false">
      <c r="A1759" s="17" t="n">
        <v>45194</v>
      </c>
      <c r="B1759" s="19" t="n">
        <v>-0.00261616753676408</v>
      </c>
    </row>
    <row r="1760" customFormat="false" ht="15" hidden="false" customHeight="false" outlineLevel="0" collapsed="false">
      <c r="A1760" s="17" t="n">
        <v>45195</v>
      </c>
      <c r="B1760" s="19" t="n">
        <v>-0.00756877273436574</v>
      </c>
    </row>
    <row r="1761" customFormat="false" ht="15" hidden="false" customHeight="false" outlineLevel="0" collapsed="false">
      <c r="A1761" s="17" t="n">
        <v>45196</v>
      </c>
      <c r="B1761" s="19" t="n">
        <v>-0.00158994418886926</v>
      </c>
    </row>
    <row r="1762" customFormat="false" ht="15" hidden="false" customHeight="false" outlineLevel="0" collapsed="false">
      <c r="A1762" s="17" t="n">
        <v>45197</v>
      </c>
      <c r="B1762" s="19" t="n">
        <v>0.00349073545241274</v>
      </c>
    </row>
    <row r="1763" customFormat="false" ht="15" hidden="false" customHeight="false" outlineLevel="0" collapsed="false">
      <c r="A1763" s="17" t="n">
        <v>45198</v>
      </c>
      <c r="B1763" s="19" t="n">
        <v>-0.00232222447752939</v>
      </c>
    </row>
    <row r="1764" customFormat="false" ht="15" hidden="false" customHeight="false" outlineLevel="0" collapsed="false">
      <c r="A1764" s="17" t="n">
        <v>45201</v>
      </c>
      <c r="B1764" s="19" t="n">
        <v>-0.00530906134196618</v>
      </c>
    </row>
    <row r="1765" customFormat="false" ht="15" hidden="false" customHeight="false" outlineLevel="0" collapsed="false">
      <c r="A1765" s="17" t="n">
        <v>45202</v>
      </c>
      <c r="B1765" s="19" t="n">
        <v>-0.00913441599825005</v>
      </c>
    </row>
    <row r="1766" customFormat="false" ht="15" hidden="false" customHeight="false" outlineLevel="0" collapsed="false">
      <c r="A1766" s="17" t="n">
        <v>45203</v>
      </c>
      <c r="B1766" s="19" t="n">
        <v>0.00360841709249216</v>
      </c>
    </row>
    <row r="1767" customFormat="false" ht="15" hidden="false" customHeight="false" outlineLevel="0" collapsed="false">
      <c r="A1767" s="17" t="n">
        <v>45204</v>
      </c>
      <c r="B1767" s="19" t="n">
        <v>0.00095343207129428</v>
      </c>
    </row>
    <row r="1768" customFormat="false" ht="15" hidden="false" customHeight="false" outlineLevel="0" collapsed="false">
      <c r="A1768" s="17" t="n">
        <v>45205</v>
      </c>
      <c r="B1768" s="19" t="n">
        <v>0.00424696138513592</v>
      </c>
    </row>
    <row r="1769" customFormat="false" ht="15" hidden="false" customHeight="false" outlineLevel="0" collapsed="false">
      <c r="A1769" s="17" t="n">
        <v>45208</v>
      </c>
      <c r="B1769" s="19" t="n">
        <v>0.00486534626107482</v>
      </c>
    </row>
    <row r="1770" customFormat="false" ht="15" hidden="false" customHeight="false" outlineLevel="0" collapsed="false">
      <c r="A1770" s="17" t="n">
        <v>45209</v>
      </c>
      <c r="B1770" s="19" t="n">
        <v>0.00374478746460594</v>
      </c>
    </row>
    <row r="1771" customFormat="false" ht="15" hidden="false" customHeight="false" outlineLevel="0" collapsed="false">
      <c r="A1771" s="17" t="n">
        <v>45210</v>
      </c>
      <c r="B1771" s="19" t="n">
        <v>0.00386884540055177</v>
      </c>
    </row>
    <row r="1772" customFormat="false" ht="15" hidden="false" customHeight="false" outlineLevel="0" collapsed="false">
      <c r="A1772" s="17" t="n">
        <v>45211</v>
      </c>
      <c r="B1772" s="19" t="n">
        <v>-0.00731886192149844</v>
      </c>
    </row>
    <row r="1773" customFormat="false" ht="15" hidden="false" customHeight="false" outlineLevel="0" collapsed="false">
      <c r="A1773" s="17" t="n">
        <v>45212</v>
      </c>
      <c r="B1773" s="19" t="n">
        <v>0.000988960326802735</v>
      </c>
    </row>
    <row r="1774" customFormat="false" ht="15" hidden="false" customHeight="false" outlineLevel="0" collapsed="false">
      <c r="A1774" s="17" t="n">
        <v>45215</v>
      </c>
      <c r="B1774" s="19" t="n">
        <v>0.00313460396476617</v>
      </c>
    </row>
    <row r="1775" customFormat="false" ht="15" hidden="false" customHeight="false" outlineLevel="0" collapsed="false">
      <c r="A1775" s="17" t="n">
        <v>45216</v>
      </c>
      <c r="B1775" s="19" t="n">
        <v>-0.00138841553119895</v>
      </c>
    </row>
    <row r="1776" customFormat="false" ht="15" hidden="false" customHeight="false" outlineLevel="0" collapsed="false">
      <c r="A1776" s="17" t="n">
        <v>45217</v>
      </c>
      <c r="B1776" s="19" t="n">
        <v>-0.00767490175025765</v>
      </c>
    </row>
    <row r="1777" customFormat="false" ht="15" hidden="false" customHeight="false" outlineLevel="0" collapsed="false">
      <c r="A1777" s="17" t="n">
        <v>45218</v>
      </c>
      <c r="B1777" s="19" t="n">
        <v>-0.00442473111606845</v>
      </c>
    </row>
    <row r="1778" customFormat="false" ht="15" hidden="false" customHeight="false" outlineLevel="0" collapsed="false">
      <c r="A1778" s="17" t="n">
        <v>45219</v>
      </c>
      <c r="B1778" s="19" t="n">
        <v>-0.00426733321274853</v>
      </c>
    </row>
    <row r="1779" customFormat="false" ht="15" hidden="false" customHeight="false" outlineLevel="0" collapsed="false">
      <c r="A1779" s="17" t="n">
        <v>45222</v>
      </c>
      <c r="B1779" s="19" t="n">
        <v>-0.000870601703472418</v>
      </c>
    </row>
    <row r="1780" customFormat="false" ht="15" hidden="false" customHeight="false" outlineLevel="0" collapsed="false">
      <c r="A1780" s="17" t="n">
        <v>45223</v>
      </c>
      <c r="B1780" s="19" t="n">
        <v>0.0048108701823335</v>
      </c>
    </row>
    <row r="1781" customFormat="false" ht="15" hidden="false" customHeight="false" outlineLevel="0" collapsed="false">
      <c r="A1781" s="17" t="n">
        <v>45224</v>
      </c>
      <c r="B1781" s="19" t="n">
        <v>-0.00744331354765782</v>
      </c>
    </row>
    <row r="1782" customFormat="false" ht="15" hidden="false" customHeight="false" outlineLevel="0" collapsed="false">
      <c r="A1782" s="17" t="n">
        <v>45225</v>
      </c>
      <c r="B1782" s="19" t="n">
        <v>-0.00107644133323026</v>
      </c>
    </row>
    <row r="1783" customFormat="false" ht="15" hidden="false" customHeight="false" outlineLevel="0" collapsed="false">
      <c r="A1783" s="17" t="n">
        <v>45226</v>
      </c>
      <c r="B1783" s="19" t="n">
        <v>-0.00149529726984132</v>
      </c>
    </row>
    <row r="1784" customFormat="false" ht="15" hidden="false" customHeight="false" outlineLevel="0" collapsed="false">
      <c r="A1784" s="17" t="n">
        <v>45229</v>
      </c>
      <c r="B1784" s="19" t="n">
        <v>0.00445277767272567</v>
      </c>
    </row>
    <row r="1785" customFormat="false" ht="15" hidden="false" customHeight="false" outlineLevel="0" collapsed="false">
      <c r="A1785" s="17" t="n">
        <v>45230</v>
      </c>
      <c r="B1785" s="19" t="n">
        <v>0.00198611730715959</v>
      </c>
    </row>
    <row r="1786" customFormat="false" ht="15" hidden="false" customHeight="false" outlineLevel="0" collapsed="false">
      <c r="A1786" s="17" t="n">
        <v>45231</v>
      </c>
      <c r="B1786" s="19" t="n">
        <v>0.0081659822890503</v>
      </c>
    </row>
    <row r="1787" customFormat="false" ht="15" hidden="false" customHeight="false" outlineLevel="0" collapsed="false">
      <c r="A1787" s="17" t="n">
        <v>45232</v>
      </c>
      <c r="B1787" s="19" t="n">
        <v>0.0115968134867561</v>
      </c>
    </row>
    <row r="1788" customFormat="false" ht="15" hidden="false" customHeight="false" outlineLevel="0" collapsed="false">
      <c r="A1788" s="17" t="n">
        <v>45233</v>
      </c>
      <c r="B1788" s="19" t="n">
        <v>0.00831266964206634</v>
      </c>
    </row>
    <row r="1789" customFormat="false" ht="15" hidden="false" customHeight="false" outlineLevel="0" collapsed="false">
      <c r="A1789" s="17" t="n">
        <v>45236</v>
      </c>
      <c r="B1789" s="19" t="n">
        <v>-0.00222814413022521</v>
      </c>
    </row>
    <row r="1790" customFormat="false" ht="15" hidden="false" customHeight="false" outlineLevel="0" collapsed="false">
      <c r="A1790" s="17" t="n">
        <v>45237</v>
      </c>
      <c r="B1790" s="19" t="n">
        <v>0.00126285567301676</v>
      </c>
    </row>
    <row r="1791" customFormat="false" ht="15" hidden="false" customHeight="false" outlineLevel="0" collapsed="false">
      <c r="A1791" s="17" t="n">
        <v>45238</v>
      </c>
      <c r="B1791" s="19" t="n">
        <v>-0.000498636225611526</v>
      </c>
    </row>
    <row r="1792" customFormat="false" ht="15" hidden="false" customHeight="false" outlineLevel="0" collapsed="false">
      <c r="A1792" s="17" t="n">
        <v>45239</v>
      </c>
      <c r="B1792" s="19" t="n">
        <v>-0.00600673999824242</v>
      </c>
    </row>
    <row r="1793" customFormat="false" ht="15" hidden="false" customHeight="false" outlineLevel="0" collapsed="false">
      <c r="A1793" s="17" t="n">
        <v>45240</v>
      </c>
      <c r="B1793" s="19" t="n">
        <v>0.00507202375074711</v>
      </c>
    </row>
    <row r="1794" customFormat="false" ht="15" hidden="false" customHeight="false" outlineLevel="0" collapsed="false">
      <c r="A1794" s="17" t="n">
        <v>45243</v>
      </c>
      <c r="B1794" s="19" t="n">
        <v>-0.000210588178632731</v>
      </c>
    </row>
    <row r="1795" customFormat="false" ht="15" hidden="false" customHeight="false" outlineLevel="0" collapsed="false">
      <c r="A1795" s="17" t="n">
        <v>45244</v>
      </c>
      <c r="B1795" s="19" t="n">
        <v>0.0161862744986048</v>
      </c>
    </row>
    <row r="1796" customFormat="false" ht="15" hidden="false" customHeight="false" outlineLevel="0" collapsed="false">
      <c r="A1796" s="17" t="n">
        <v>45245</v>
      </c>
      <c r="B1796" s="19" t="n">
        <v>-0.00077681076007019</v>
      </c>
    </row>
    <row r="1797" customFormat="false" ht="15" hidden="false" customHeight="false" outlineLevel="0" collapsed="false">
      <c r="A1797" s="17" t="n">
        <v>45246</v>
      </c>
      <c r="B1797" s="19" t="n">
        <v>0.00186248879786821</v>
      </c>
    </row>
    <row r="1798" customFormat="false" ht="15" hidden="false" customHeight="false" outlineLevel="0" collapsed="false">
      <c r="A1798" s="17" t="n">
        <v>45247</v>
      </c>
      <c r="B1798" s="19" t="n">
        <v>0.00284551338077232</v>
      </c>
    </row>
    <row r="1799" customFormat="false" ht="15" hidden="false" customHeight="false" outlineLevel="0" collapsed="false">
      <c r="A1799" s="17" t="n">
        <v>45250</v>
      </c>
      <c r="B1799" s="19" t="n">
        <v>0.00361785711842422</v>
      </c>
    </row>
    <row r="1800" customFormat="false" ht="15" hidden="false" customHeight="false" outlineLevel="0" collapsed="false">
      <c r="A1800" s="17" t="n">
        <v>45251</v>
      </c>
      <c r="B1800" s="19" t="n">
        <v>-0.000840150774062853</v>
      </c>
    </row>
    <row r="1801" customFormat="false" ht="15" hidden="false" customHeight="false" outlineLevel="0" collapsed="false">
      <c r="A1801" s="17" t="n">
        <v>45252</v>
      </c>
      <c r="B1801" s="19" t="n">
        <v>0.00111756160039334</v>
      </c>
    </row>
    <row r="1802" customFormat="false" ht="15" hidden="false" customHeight="false" outlineLevel="0" collapsed="false">
      <c r="A1802" s="17" t="n">
        <v>45254</v>
      </c>
      <c r="B1802" s="19" t="n">
        <v>5.70473763361612E-005</v>
      </c>
    </row>
    <row r="1803" customFormat="false" ht="15" hidden="false" customHeight="false" outlineLevel="0" collapsed="false">
      <c r="A1803" s="17" t="n">
        <v>45257</v>
      </c>
      <c r="B1803" s="19" t="n">
        <v>0.00165079759216691</v>
      </c>
    </row>
    <row r="1804" customFormat="false" ht="15" hidden="false" customHeight="false" outlineLevel="0" collapsed="false">
      <c r="A1804" s="17" t="n">
        <v>45258</v>
      </c>
      <c r="B1804" s="19" t="n">
        <v>0.00350222802025191</v>
      </c>
    </row>
    <row r="1805" customFormat="false" ht="15" hidden="false" customHeight="false" outlineLevel="0" collapsed="false">
      <c r="A1805" s="17" t="n">
        <v>45259</v>
      </c>
      <c r="B1805" s="19" t="n">
        <v>0.00187483790885379</v>
      </c>
    </row>
    <row r="1806" customFormat="false" ht="15" hidden="false" customHeight="false" outlineLevel="0" collapsed="false">
      <c r="A1806" s="17" t="n">
        <v>45260</v>
      </c>
      <c r="B1806" s="19" t="n">
        <v>0.000259508811974563</v>
      </c>
    </row>
    <row r="1807" customFormat="false" ht="15" hidden="false" customHeight="false" outlineLevel="0" collapsed="false">
      <c r="A1807" s="17" t="n">
        <v>45261</v>
      </c>
      <c r="B1807" s="19" t="n">
        <v>0.00798351705352474</v>
      </c>
    </row>
    <row r="1808" customFormat="false" ht="15" hidden="false" customHeight="false" outlineLevel="0" collapsed="false">
      <c r="A1808" s="17" t="n">
        <v>45264</v>
      </c>
      <c r="B1808" s="19" t="n">
        <v>-0.00515274270481902</v>
      </c>
    </row>
    <row r="1809" customFormat="false" ht="15" hidden="false" customHeight="false" outlineLevel="0" collapsed="false">
      <c r="A1809" s="17" t="n">
        <v>45265</v>
      </c>
      <c r="B1809" s="19" t="n">
        <v>0.000520967374879389</v>
      </c>
    </row>
    <row r="1810" customFormat="false" ht="15" hidden="false" customHeight="false" outlineLevel="0" collapsed="false">
      <c r="A1810" s="17" t="n">
        <v>45266</v>
      </c>
      <c r="B1810" s="19" t="n">
        <v>-7.91743398912415E-005</v>
      </c>
    </row>
    <row r="1811" customFormat="false" ht="15" hidden="false" customHeight="false" outlineLevel="0" collapsed="false">
      <c r="A1811" s="17" t="n">
        <v>45267</v>
      </c>
      <c r="B1811" s="19" t="n">
        <v>0.00312334729153463</v>
      </c>
    </row>
    <row r="1812" customFormat="false" ht="15" hidden="false" customHeight="false" outlineLevel="0" collapsed="false">
      <c r="A1812" s="17" t="n">
        <v>45268</v>
      </c>
      <c r="B1812" s="19" t="n">
        <v>-0.00128140735408999</v>
      </c>
    </row>
    <row r="1813" customFormat="false" ht="15" hidden="false" customHeight="false" outlineLevel="0" collapsed="false">
      <c r="A1813" s="17" t="n">
        <v>45271</v>
      </c>
      <c r="B1813" s="19" t="n">
        <v>0.00115710273587522</v>
      </c>
    </row>
    <row r="1814" customFormat="false" ht="15" hidden="false" customHeight="false" outlineLevel="0" collapsed="false">
      <c r="A1814" s="17" t="n">
        <v>45272</v>
      </c>
      <c r="B1814" s="19" t="n">
        <v>0.00154570823416522</v>
      </c>
    </row>
    <row r="1815" customFormat="false" ht="15" hidden="false" customHeight="false" outlineLevel="0" collapsed="false">
      <c r="A1815" s="17" t="n">
        <v>45273</v>
      </c>
      <c r="B1815" s="19" t="n">
        <v>0.0136060347095939</v>
      </c>
    </row>
    <row r="1816" customFormat="false" ht="15" hidden="false" customHeight="false" outlineLevel="0" collapsed="false">
      <c r="A1816" s="17" t="n">
        <v>45274</v>
      </c>
      <c r="B1816" s="19" t="n">
        <v>0.00806593391370414</v>
      </c>
    </row>
    <row r="1817" customFormat="false" ht="15" hidden="false" customHeight="false" outlineLevel="0" collapsed="false">
      <c r="A1817" s="17" t="n">
        <v>45275</v>
      </c>
      <c r="B1817" s="19" t="n">
        <v>-0.00334900407574801</v>
      </c>
    </row>
    <row r="1818" customFormat="false" ht="15" hidden="false" customHeight="false" outlineLevel="0" collapsed="false">
      <c r="A1818" s="17" t="n">
        <v>45278</v>
      </c>
      <c r="B1818" s="19" t="n">
        <v>0.0011796727374187</v>
      </c>
    </row>
    <row r="1819" customFormat="false" ht="15" hidden="false" customHeight="false" outlineLevel="0" collapsed="false">
      <c r="A1819" s="17" t="n">
        <v>45279</v>
      </c>
      <c r="B1819" s="19" t="n">
        <v>0.0046011545155078</v>
      </c>
    </row>
    <row r="1820" customFormat="false" ht="15" hidden="false" customHeight="false" outlineLevel="0" collapsed="false">
      <c r="A1820" s="17" t="n">
        <v>45280</v>
      </c>
      <c r="B1820" s="19" t="n">
        <v>-0.00585875342022024</v>
      </c>
    </row>
    <row r="1821" customFormat="false" ht="15" hidden="false" customHeight="false" outlineLevel="0" collapsed="false">
      <c r="A1821" s="17" t="n">
        <v>45281</v>
      </c>
      <c r="B1821" s="19" t="n">
        <v>0.00638697409449174</v>
      </c>
    </row>
    <row r="1822" customFormat="false" ht="15" hidden="false" customHeight="false" outlineLevel="0" collapsed="false">
      <c r="A1822" s="17" t="n">
        <v>45282</v>
      </c>
      <c r="B1822" s="19" t="n">
        <v>0.000802847790871697</v>
      </c>
    </row>
    <row r="1823" customFormat="false" ht="15" hidden="false" customHeight="false" outlineLevel="0" collapsed="false">
      <c r="A1823" s="17" t="n">
        <v>45286</v>
      </c>
      <c r="B1823" s="19" t="n">
        <v>0.00398933223831421</v>
      </c>
    </row>
    <row r="1824" customFormat="false" ht="15" hidden="false" customHeight="false" outlineLevel="0" collapsed="false">
      <c r="A1824" s="17" t="n">
        <v>45287</v>
      </c>
      <c r="B1824" s="19" t="n">
        <v>0.00397392311958633</v>
      </c>
    </row>
    <row r="1825" customFormat="false" ht="15" hidden="false" customHeight="false" outlineLevel="0" collapsed="false">
      <c r="A1825" s="17" t="n">
        <v>45288</v>
      </c>
      <c r="B1825" s="19" t="n">
        <v>-0.00103663795796161</v>
      </c>
    </row>
    <row r="1826" customFormat="false" ht="15" hidden="false" customHeight="false" outlineLevel="0" collapsed="false">
      <c r="A1826" s="17" t="n">
        <v>45289</v>
      </c>
      <c r="B1826" s="19" t="n">
        <v>-0.0019580240446031</v>
      </c>
    </row>
    <row r="1827" customFormat="false" ht="15" hidden="false" customHeight="false" outlineLevel="0" collapsed="false">
      <c r="A1827" s="17" t="n">
        <v>45293</v>
      </c>
      <c r="B1827" s="19" t="n">
        <v>-0.0041787576241541</v>
      </c>
    </row>
    <row r="1828" customFormat="false" ht="15" hidden="false" customHeight="false" outlineLevel="0" collapsed="false">
      <c r="A1828" s="17" t="n">
        <v>45294</v>
      </c>
      <c r="B1828" s="19" t="n">
        <v>-0.0049798571360764</v>
      </c>
    </row>
    <row r="1829" customFormat="false" ht="15" hidden="false" customHeight="false" outlineLevel="0" collapsed="false">
      <c r="A1829" s="17" t="n">
        <v>45295</v>
      </c>
      <c r="B1829" s="19" t="n">
        <v>-0.00170293932769938</v>
      </c>
    </row>
    <row r="1830" customFormat="false" ht="15" hidden="false" customHeight="false" outlineLevel="0" collapsed="false">
      <c r="A1830" s="17" t="n">
        <v>45296</v>
      </c>
      <c r="B1830" s="19" t="n">
        <v>-0.000446614165496295</v>
      </c>
    </row>
    <row r="1831" customFormat="false" ht="15" hidden="false" customHeight="false" outlineLevel="0" collapsed="false">
      <c r="A1831" s="17" t="n">
        <v>45299</v>
      </c>
      <c r="B1831" s="19" t="n">
        <v>0.00698588200652073</v>
      </c>
    </row>
    <row r="1832" customFormat="false" ht="15" hidden="false" customHeight="false" outlineLevel="0" collapsed="false">
      <c r="A1832" s="17" t="n">
        <v>45300</v>
      </c>
      <c r="B1832" s="19" t="n">
        <v>-0.00261840082837062</v>
      </c>
    </row>
    <row r="1833" customFormat="false" ht="15" hidden="false" customHeight="false" outlineLevel="0" collapsed="false">
      <c r="A1833" s="17" t="n">
        <v>45301</v>
      </c>
      <c r="B1833" s="19" t="n">
        <v>0.00103971320080221</v>
      </c>
    </row>
    <row r="1834" customFormat="false" ht="15" hidden="false" customHeight="false" outlineLevel="0" collapsed="false">
      <c r="A1834" s="17" t="n">
        <v>45302</v>
      </c>
      <c r="B1834" s="19" t="n">
        <v>0.00170061608689931</v>
      </c>
    </row>
    <row r="1835" customFormat="false" ht="15" hidden="false" customHeight="false" outlineLevel="0" collapsed="false">
      <c r="A1835" s="17" t="n">
        <v>45303</v>
      </c>
      <c r="B1835" s="19" t="n">
        <v>0.00257258592634369</v>
      </c>
    </row>
    <row r="1836" customFormat="false" ht="15" hidden="false" customHeight="false" outlineLevel="0" collapsed="false">
      <c r="A1836" s="17" t="n">
        <v>45307</v>
      </c>
      <c r="B1836" s="19" t="n">
        <v>-0.00776846574500845</v>
      </c>
    </row>
    <row r="1837" customFormat="false" ht="15" hidden="false" customHeight="false" outlineLevel="0" collapsed="false">
      <c r="A1837" s="17" t="n">
        <v>45308</v>
      </c>
      <c r="B1837" s="19" t="n">
        <v>-0.00530510310774224</v>
      </c>
    </row>
    <row r="1838" customFormat="false" ht="15" hidden="false" customHeight="false" outlineLevel="0" collapsed="false">
      <c r="A1838" s="17" t="n">
        <v>45309</v>
      </c>
      <c r="B1838" s="19" t="n">
        <v>0.00329405511928838</v>
      </c>
    </row>
    <row r="1839" customFormat="false" ht="15" hidden="false" customHeight="false" outlineLevel="0" collapsed="false">
      <c r="A1839" s="17" t="n">
        <v>45310</v>
      </c>
      <c r="B1839" s="19" t="n">
        <v>0.00473908103077414</v>
      </c>
    </row>
    <row r="1840" customFormat="false" ht="15" hidden="false" customHeight="false" outlineLevel="0" collapsed="false">
      <c r="A1840" s="17" t="n">
        <v>45313</v>
      </c>
      <c r="B1840" s="19" t="n">
        <v>0.00189937624961423</v>
      </c>
    </row>
    <row r="1841" customFormat="false" ht="15" hidden="false" customHeight="false" outlineLevel="0" collapsed="false">
      <c r="A1841" s="17" t="n">
        <v>45314</v>
      </c>
      <c r="B1841" s="19" t="n">
        <v>-0.000117321697570949</v>
      </c>
    </row>
    <row r="1842" customFormat="false" ht="15" hidden="false" customHeight="false" outlineLevel="0" collapsed="false">
      <c r="A1842" s="17" t="n">
        <v>45315</v>
      </c>
      <c r="B1842" s="19" t="n">
        <v>-0.000213727964423427</v>
      </c>
    </row>
    <row r="1843" customFormat="false" ht="15" hidden="false" customHeight="false" outlineLevel="0" collapsed="false">
      <c r="A1843" s="17" t="n">
        <v>45316</v>
      </c>
      <c r="B1843" s="19" t="n">
        <v>0.00422790683786256</v>
      </c>
    </row>
    <row r="1844" customFormat="false" ht="15" hidden="false" customHeight="false" outlineLevel="0" collapsed="false">
      <c r="A1844" s="17" t="n">
        <v>45317</v>
      </c>
      <c r="B1844" s="19" t="n">
        <v>-0.000792104923973525</v>
      </c>
    </row>
    <row r="1845" customFormat="false" ht="15" hidden="false" customHeight="false" outlineLevel="0" collapsed="false">
      <c r="A1845" s="17" t="n">
        <v>45320</v>
      </c>
      <c r="B1845" s="19" t="n">
        <v>0.00543329084423139</v>
      </c>
    </row>
    <row r="1846" customFormat="false" ht="15" hidden="false" customHeight="false" outlineLevel="0" collapsed="false">
      <c r="A1846" s="17" t="n">
        <v>45321</v>
      </c>
      <c r="B1846" s="19" t="n">
        <v>-0.00120570314191326</v>
      </c>
    </row>
    <row r="1847" customFormat="false" ht="15" hidden="false" customHeight="false" outlineLevel="0" collapsed="false">
      <c r="A1847" s="17" t="n">
        <v>45322</v>
      </c>
      <c r="B1847" s="19" t="n">
        <v>-0.00487519033438999</v>
      </c>
    </row>
    <row r="1848" customFormat="false" ht="15" hidden="false" customHeight="false" outlineLevel="0" collapsed="false">
      <c r="A1848" s="17" t="n">
        <v>45323</v>
      </c>
      <c r="B1848" s="19" t="n">
        <v>0.00836023931592123</v>
      </c>
    </row>
    <row r="1849" customFormat="false" ht="15" hidden="false" customHeight="false" outlineLevel="0" collapsed="false">
      <c r="A1849" s="17" t="n">
        <v>45324</v>
      </c>
      <c r="B1849" s="19" t="n">
        <v>-0.00313992803905627</v>
      </c>
    </row>
    <row r="1850" customFormat="false" ht="15" hidden="false" customHeight="false" outlineLevel="0" collapsed="false">
      <c r="A1850" s="17" t="n">
        <v>45327</v>
      </c>
      <c r="B1850" s="19" t="n">
        <v>-0.00485360000452206</v>
      </c>
    </row>
    <row r="1851" customFormat="false" ht="15" hidden="false" customHeight="false" outlineLevel="0" collapsed="false">
      <c r="A1851" s="17" t="n">
        <v>45328</v>
      </c>
      <c r="B1851" s="19" t="n">
        <v>0.00491880442855641</v>
      </c>
    </row>
    <row r="1852" customFormat="false" ht="15" hidden="false" customHeight="false" outlineLevel="0" collapsed="false">
      <c r="A1852" s="17" t="n">
        <v>45329</v>
      </c>
      <c r="B1852" s="19" t="n">
        <v>0.00159040715356529</v>
      </c>
    </row>
    <row r="1853" customFormat="false" ht="15" hidden="false" customHeight="false" outlineLevel="0" collapsed="false">
      <c r="A1853" s="17" t="n">
        <v>45330</v>
      </c>
      <c r="B1853" s="19" t="n">
        <v>-0.000447746937101812</v>
      </c>
    </row>
    <row r="1854" customFormat="false" ht="15" hidden="false" customHeight="false" outlineLevel="0" collapsed="false">
      <c r="A1854" s="17" t="n">
        <v>45331</v>
      </c>
      <c r="B1854" s="19" t="n">
        <v>0.00187167288781431</v>
      </c>
    </row>
    <row r="1855" customFormat="false" ht="15" hidden="false" customHeight="false" outlineLevel="0" collapsed="false">
      <c r="A1855" s="17" t="n">
        <v>45334</v>
      </c>
      <c r="B1855" s="19" t="n">
        <v>0.00118106336364421</v>
      </c>
    </row>
    <row r="1856" customFormat="false" ht="15" hidden="false" customHeight="false" outlineLevel="0" collapsed="false">
      <c r="A1856" s="17" t="n">
        <v>45335</v>
      </c>
      <c r="B1856" s="19" t="n">
        <v>-0.0116547852999517</v>
      </c>
    </row>
    <row r="1857" customFormat="false" ht="15" hidden="false" customHeight="false" outlineLevel="0" collapsed="false">
      <c r="A1857" s="17" t="n">
        <v>45336</v>
      </c>
      <c r="B1857" s="19" t="n">
        <v>0.00701316859000589</v>
      </c>
    </row>
    <row r="1858" customFormat="false" ht="15" hidden="false" customHeight="false" outlineLevel="0" collapsed="false">
      <c r="A1858" s="17" t="n">
        <v>45337</v>
      </c>
      <c r="B1858" s="19" t="n">
        <v>0.00594332162289568</v>
      </c>
    </row>
    <row r="1859" customFormat="false" ht="15" hidden="false" customHeight="false" outlineLevel="0" collapsed="false">
      <c r="A1859" s="17" t="n">
        <v>45338</v>
      </c>
      <c r="B1859" s="19" t="n">
        <v>-0.00186299028263115</v>
      </c>
    </row>
    <row r="1860" customFormat="false" ht="15" hidden="false" customHeight="false" outlineLevel="0" collapsed="false">
      <c r="A1860" s="17" t="n">
        <v>45342</v>
      </c>
      <c r="B1860" s="19" t="n">
        <v>-0.000430994552840125</v>
      </c>
    </row>
    <row r="1861" customFormat="false" ht="15" hidden="false" customHeight="false" outlineLevel="0" collapsed="false">
      <c r="A1861" s="17" t="n">
        <v>45343</v>
      </c>
      <c r="B1861" s="19" t="n">
        <v>-0.00068137435127158</v>
      </c>
    </row>
    <row r="1862" customFormat="false" ht="15" hidden="false" customHeight="false" outlineLevel="0" collapsed="false">
      <c r="A1862" s="17" t="n">
        <v>45344</v>
      </c>
      <c r="B1862" s="19" t="n">
        <v>0.00691740230357119</v>
      </c>
    </row>
    <row r="1863" customFormat="false" ht="15" hidden="false" customHeight="false" outlineLevel="0" collapsed="false">
      <c r="A1863" s="17" t="n">
        <v>45345</v>
      </c>
      <c r="B1863" s="19" t="n">
        <v>0.00182218625822994</v>
      </c>
    </row>
    <row r="1864" customFormat="false" ht="15" hidden="false" customHeight="false" outlineLevel="0" collapsed="false">
      <c r="A1864" s="17" t="n">
        <v>45348</v>
      </c>
      <c r="B1864" s="19" t="n">
        <v>-0.00217341042359553</v>
      </c>
    </row>
    <row r="1865" customFormat="false" ht="15" hidden="false" customHeight="false" outlineLevel="0" collapsed="false">
      <c r="A1865" s="17" t="n">
        <v>45349</v>
      </c>
      <c r="B1865" s="19" t="n">
        <v>0.000517059720108515</v>
      </c>
    </row>
    <row r="1866" customFormat="false" ht="15" hidden="false" customHeight="false" outlineLevel="0" collapsed="false">
      <c r="A1866" s="17" t="n">
        <v>45350</v>
      </c>
      <c r="B1866" s="19" t="n">
        <v>-0.000506942847870007</v>
      </c>
    </row>
    <row r="1867" customFormat="false" ht="15" hidden="false" customHeight="false" outlineLevel="0" collapsed="false">
      <c r="A1867" s="17" t="n">
        <v>45351</v>
      </c>
      <c r="B1867" s="19" t="n">
        <v>0.00271415454219648</v>
      </c>
    </row>
    <row r="1868" customFormat="false" ht="15" hidden="false" customHeight="false" outlineLevel="0" collapsed="false">
      <c r="A1868" s="17" t="n">
        <v>45352</v>
      </c>
      <c r="B1868" s="19" t="n">
        <v>0.00780221223361655</v>
      </c>
    </row>
    <row r="1869" customFormat="false" ht="15" hidden="false" customHeight="false" outlineLevel="0" collapsed="false">
      <c r="A1869" s="17" t="n">
        <v>45355</v>
      </c>
      <c r="B1869" s="19" t="n">
        <v>-0.00054947538431771</v>
      </c>
    </row>
    <row r="1870" customFormat="false" ht="15" hidden="false" customHeight="false" outlineLevel="0" collapsed="false">
      <c r="A1870" s="17" t="n">
        <v>45356</v>
      </c>
      <c r="B1870" s="19" t="n">
        <v>-0.00201047809688182</v>
      </c>
    </row>
    <row r="1871" customFormat="false" ht="15" hidden="false" customHeight="false" outlineLevel="0" collapsed="false">
      <c r="A1871" s="17" t="n">
        <v>45357</v>
      </c>
      <c r="B1871" s="19" t="n">
        <v>0.00496203141950247</v>
      </c>
    </row>
    <row r="1872" customFormat="false" ht="15" hidden="false" customHeight="false" outlineLevel="0" collapsed="false">
      <c r="A1872" s="17" t="n">
        <v>45358</v>
      </c>
      <c r="B1872" s="19" t="n">
        <v>0.0051060256673694</v>
      </c>
    </row>
    <row r="1873" customFormat="false" ht="15" hidden="false" customHeight="false" outlineLevel="0" collapsed="false">
      <c r="A1873" s="17" t="n">
        <v>45359</v>
      </c>
      <c r="B1873" s="19" t="n">
        <v>-0.000867040687385412</v>
      </c>
    </row>
    <row r="1874" customFormat="false" ht="15" hidden="false" customHeight="false" outlineLevel="0" collapsed="false">
      <c r="A1874" s="17" t="n">
        <v>45362</v>
      </c>
      <c r="B1874" s="19" t="n">
        <v>-0.00110592908589702</v>
      </c>
    </row>
    <row r="1875" customFormat="false" ht="15" hidden="false" customHeight="false" outlineLevel="0" collapsed="false">
      <c r="A1875" s="17" t="n">
        <v>45363</v>
      </c>
      <c r="B1875" s="19" t="n">
        <v>0.00236808960002755</v>
      </c>
    </row>
    <row r="1876" customFormat="false" ht="15" hidden="false" customHeight="false" outlineLevel="0" collapsed="false">
      <c r="A1876" s="17" t="n">
        <v>45364</v>
      </c>
      <c r="B1876" s="19" t="n">
        <v>-0.000575845699338773</v>
      </c>
    </row>
    <row r="1877" customFormat="false" ht="15" hidden="false" customHeight="false" outlineLevel="0" collapsed="false">
      <c r="A1877" s="17" t="n">
        <v>45365</v>
      </c>
      <c r="B1877" s="19" t="n">
        <v>-0.00477693787533373</v>
      </c>
    </row>
    <row r="1878" customFormat="false" ht="15" hidden="false" customHeight="false" outlineLevel="0" collapsed="false">
      <c r="A1878" s="17" t="n">
        <v>45366</v>
      </c>
      <c r="B1878" s="19" t="n">
        <v>-0.00222696944796619</v>
      </c>
    </row>
    <row r="1879" customFormat="false" ht="15" hidden="false" customHeight="false" outlineLevel="0" collapsed="false">
      <c r="A1879" s="17" t="n">
        <v>45369</v>
      </c>
      <c r="B1879" s="19" t="n">
        <v>0.00156674570452875</v>
      </c>
    </row>
    <row r="1880" customFormat="false" ht="15" hidden="false" customHeight="false" outlineLevel="0" collapsed="false">
      <c r="A1880" s="17" t="n">
        <v>45370</v>
      </c>
      <c r="B1880" s="19" t="n">
        <v>0.00251570735491558</v>
      </c>
    </row>
    <row r="1881" customFormat="false" ht="15" hidden="false" customHeight="false" outlineLevel="0" collapsed="false">
      <c r="A1881" s="17" t="n">
        <v>45371</v>
      </c>
      <c r="B1881" s="19" t="n">
        <v>0.00605056626860856</v>
      </c>
    </row>
    <row r="1882" customFormat="false" ht="15" hidden="false" customHeight="false" outlineLevel="0" collapsed="false">
      <c r="A1882" s="17" t="n">
        <v>45372</v>
      </c>
      <c r="B1882" s="19" t="n">
        <v>0.00200076207284106</v>
      </c>
    </row>
    <row r="1883" customFormat="false" ht="15" hidden="false" customHeight="false" outlineLevel="0" collapsed="false">
      <c r="A1883" s="17" t="n">
        <v>45373</v>
      </c>
      <c r="B1883" s="19" t="n">
        <v>-0.0011671981382696</v>
      </c>
    </row>
    <row r="1884" customFormat="false" ht="15" hidden="false" customHeight="false" outlineLevel="0" collapsed="false">
      <c r="A1884" s="17" t="n">
        <v>45376</v>
      </c>
      <c r="B1884" s="19" t="n">
        <v>-0.00168824570073234</v>
      </c>
    </row>
    <row r="1885" customFormat="false" ht="15" hidden="false" customHeight="false" outlineLevel="0" collapsed="false">
      <c r="A1885" s="17" t="n">
        <v>45377</v>
      </c>
      <c r="B1885" s="19" t="n">
        <v>-0.000378076823532969</v>
      </c>
    </row>
    <row r="1886" customFormat="false" ht="15" hidden="false" customHeight="false" outlineLevel="0" collapsed="false">
      <c r="A1886" s="17" t="n">
        <v>45378</v>
      </c>
      <c r="B1886" s="19" t="n">
        <v>0.00556410602320079</v>
      </c>
    </row>
    <row r="1887" customFormat="false" ht="15" hidden="false" customHeight="false" outlineLevel="0" collapsed="false">
      <c r="A1887" s="17" t="n">
        <v>45379</v>
      </c>
      <c r="B1887" s="19" t="n">
        <v>0.00093006270261875</v>
      </c>
    </row>
    <row r="1888" customFormat="false" ht="15" hidden="false" customHeight="false" outlineLevel="0" collapsed="false">
      <c r="A1888" s="17" t="n">
        <v>45383</v>
      </c>
      <c r="B1888" s="19" t="n">
        <v>-0.00308277502023457</v>
      </c>
    </row>
    <row r="1889" customFormat="false" ht="15" hidden="false" customHeight="false" outlineLevel="0" collapsed="false">
      <c r="A1889" s="17" t="n">
        <v>45384</v>
      </c>
      <c r="B1889" s="19" t="n">
        <v>-0.00204715795929766</v>
      </c>
    </row>
    <row r="1890" customFormat="false" ht="15" hidden="false" customHeight="false" outlineLevel="0" collapsed="false">
      <c r="A1890" s="17" t="n">
        <v>45385</v>
      </c>
      <c r="B1890" s="19" t="n">
        <v>0.00236362060229967</v>
      </c>
    </row>
    <row r="1891" customFormat="false" ht="15" hidden="false" customHeight="false" outlineLevel="0" collapsed="false">
      <c r="A1891" s="17" t="n">
        <v>45386</v>
      </c>
      <c r="B1891" s="19" t="n">
        <v>-0.00367208566585708</v>
      </c>
    </row>
    <row r="1892" customFormat="false" ht="15" hidden="false" customHeight="false" outlineLevel="0" collapsed="false">
      <c r="A1892" s="17" t="n">
        <v>45387</v>
      </c>
      <c r="B1892" s="19" t="n">
        <v>0.00306388520650147</v>
      </c>
    </row>
    <row r="1893" customFormat="false" ht="15" hidden="false" customHeight="false" outlineLevel="0" collapsed="false">
      <c r="A1893" s="17" t="n">
        <v>45390</v>
      </c>
      <c r="B1893" s="19" t="n">
        <v>0.0018247279041117</v>
      </c>
    </row>
    <row r="1894" customFormat="false" ht="15" hidden="false" customHeight="false" outlineLevel="0" collapsed="false">
      <c r="A1894" s="17" t="n">
        <v>45391</v>
      </c>
      <c r="B1894" s="19" t="n">
        <v>0.00277792870757332</v>
      </c>
    </row>
    <row r="1895" customFormat="false" ht="15" hidden="false" customHeight="false" outlineLevel="0" collapsed="false">
      <c r="A1895" s="17" t="n">
        <v>45392</v>
      </c>
      <c r="B1895" s="19" t="n">
        <v>-0.0109130917707054</v>
      </c>
    </row>
    <row r="1896" customFormat="false" ht="15" hidden="false" customHeight="false" outlineLevel="0" collapsed="false">
      <c r="A1896" s="17" t="n">
        <v>45393</v>
      </c>
      <c r="B1896" s="19" t="n">
        <v>0.00379960398166146</v>
      </c>
    </row>
    <row r="1897" customFormat="false" ht="15" hidden="false" customHeight="false" outlineLevel="0" collapsed="false">
      <c r="A1897" s="17" t="n">
        <v>45394</v>
      </c>
      <c r="B1897" s="19" t="n">
        <v>-0.00790046020538315</v>
      </c>
    </row>
    <row r="1898" customFormat="false" ht="15" hidden="false" customHeight="false" outlineLevel="0" collapsed="false">
      <c r="A1898" s="17" t="n">
        <v>45397</v>
      </c>
      <c r="B1898" s="19" t="n">
        <v>-0.00426754769523285</v>
      </c>
    </row>
    <row r="1899" customFormat="false" ht="15" hidden="false" customHeight="false" outlineLevel="0" collapsed="false">
      <c r="A1899" s="17" t="n">
        <v>45398</v>
      </c>
      <c r="B1899" s="19" t="n">
        <v>-0.00441626394762118</v>
      </c>
    </row>
    <row r="1900" customFormat="false" ht="15" hidden="false" customHeight="false" outlineLevel="0" collapsed="false">
      <c r="A1900" s="17" t="n">
        <v>45399</v>
      </c>
      <c r="B1900" s="19" t="n">
        <v>-0.000939708401166084</v>
      </c>
    </row>
    <row r="1901" customFormat="false" ht="15" hidden="false" customHeight="false" outlineLevel="0" collapsed="false">
      <c r="A1901" s="17" t="n">
        <v>45400</v>
      </c>
      <c r="B1901" s="19" t="n">
        <v>-0.000702314031308271</v>
      </c>
    </row>
    <row r="1902" customFormat="false" ht="15" hidden="false" customHeight="false" outlineLevel="0" collapsed="false">
      <c r="A1902" s="17" t="n">
        <v>45401</v>
      </c>
      <c r="B1902" s="19" t="n">
        <v>-0.00148242110801033</v>
      </c>
    </row>
    <row r="1903" customFormat="false" ht="15" hidden="false" customHeight="false" outlineLevel="0" collapsed="false">
      <c r="A1903" s="17" t="n">
        <v>45404</v>
      </c>
      <c r="B1903" s="19" t="n">
        <v>0.00233730377304586</v>
      </c>
    </row>
    <row r="1904" customFormat="false" ht="15" hidden="false" customHeight="false" outlineLevel="0" collapsed="false">
      <c r="A1904" s="17" t="n">
        <v>45405</v>
      </c>
      <c r="B1904" s="19" t="n">
        <v>0.00490653717913081</v>
      </c>
    </row>
    <row r="1905" customFormat="false" ht="15" hidden="false" customHeight="false" outlineLevel="0" collapsed="false">
      <c r="A1905" s="17" t="n">
        <v>45406</v>
      </c>
      <c r="B1905" s="19" t="n">
        <v>-0.00147154369889069</v>
      </c>
    </row>
    <row r="1906" customFormat="false" ht="15" hidden="false" customHeight="false" outlineLevel="0" collapsed="false">
      <c r="A1906" s="17" t="n">
        <v>45407</v>
      </c>
      <c r="B1906" s="19" t="n">
        <v>-0.00199182170489176</v>
      </c>
    </row>
    <row r="1907" customFormat="false" ht="15" hidden="false" customHeight="false" outlineLevel="0" collapsed="false">
      <c r="A1907" s="17" t="n">
        <v>45408</v>
      </c>
      <c r="B1907" s="19" t="n">
        <v>0.00488571621926592</v>
      </c>
    </row>
    <row r="1908" customFormat="false" ht="15" hidden="false" customHeight="false" outlineLevel="0" collapsed="false">
      <c r="A1908" s="17" t="n">
        <v>45411</v>
      </c>
      <c r="B1908" s="19" t="n">
        <v>0.00363558793697294</v>
      </c>
    </row>
    <row r="1909" customFormat="false" ht="15" hidden="false" customHeight="false" outlineLevel="0" collapsed="false">
      <c r="A1909" s="17" t="n">
        <v>45412</v>
      </c>
      <c r="B1909" s="19" t="n">
        <v>-0.0098097843114372</v>
      </c>
    </row>
    <row r="1910" customFormat="false" ht="15" hidden="false" customHeight="false" outlineLevel="0" collapsed="false">
      <c r="A1910" s="17" t="n">
        <v>45413</v>
      </c>
      <c r="B1910" s="19" t="n">
        <v>0.00116762936414316</v>
      </c>
    </row>
    <row r="1911" customFormat="false" ht="15" hidden="false" customHeight="false" outlineLevel="0" collapsed="false">
      <c r="A1911" s="17" t="n">
        <v>45414</v>
      </c>
      <c r="B1911" s="19" t="n">
        <v>0.00716769986373267</v>
      </c>
    </row>
    <row r="1912" customFormat="false" ht="15" hidden="false" customHeight="false" outlineLevel="0" collapsed="false">
      <c r="A1912" s="17" t="n">
        <v>45415</v>
      </c>
      <c r="B1912" s="19" t="n">
        <v>0.00656365903895884</v>
      </c>
    </row>
    <row r="1913" customFormat="false" ht="15" hidden="false" customHeight="false" outlineLevel="0" collapsed="false">
      <c r="A1913" s="17" t="n">
        <v>45418</v>
      </c>
      <c r="B1913" s="19" t="n">
        <v>0.00424957721419816</v>
      </c>
    </row>
    <row r="1914" customFormat="false" ht="15" hidden="false" customHeight="false" outlineLevel="0" collapsed="false">
      <c r="A1914" s="17" t="n">
        <v>45419</v>
      </c>
      <c r="B1914" s="19" t="n">
        <v>0.000377952721856589</v>
      </c>
    </row>
    <row r="1915" customFormat="false" ht="15" hidden="false" customHeight="false" outlineLevel="0" collapsed="false">
      <c r="A1915" s="17" t="n">
        <v>45420</v>
      </c>
      <c r="B1915" s="19" t="n">
        <v>-0.00105473142315671</v>
      </c>
    </row>
    <row r="1916" customFormat="false" ht="15" hidden="false" customHeight="false" outlineLevel="0" collapsed="false">
      <c r="A1916" s="17" t="n">
        <v>45421</v>
      </c>
      <c r="B1916" s="19" t="n">
        <v>0.00470557856587006</v>
      </c>
    </row>
    <row r="1917" customFormat="false" ht="15" hidden="false" customHeight="false" outlineLevel="0" collapsed="false">
      <c r="A1917" s="17" t="n">
        <v>45422</v>
      </c>
      <c r="B1917" s="19" t="n">
        <v>-0.000185207690963196</v>
      </c>
    </row>
    <row r="1918" customFormat="false" ht="15" hidden="false" customHeight="false" outlineLevel="0" collapsed="false">
      <c r="A1918" s="17" t="n">
        <v>45425</v>
      </c>
      <c r="B1918" s="19" t="n">
        <v>2.61465081012879E-005</v>
      </c>
    </row>
    <row r="1919" customFormat="false" ht="15" hidden="false" customHeight="false" outlineLevel="0" collapsed="false">
      <c r="A1919" s="17" t="n">
        <v>45426</v>
      </c>
      <c r="B1919" s="19" t="n">
        <v>0.00364347323336256</v>
      </c>
    </row>
    <row r="1920" customFormat="false" ht="15" hidden="false" customHeight="false" outlineLevel="0" collapsed="false">
      <c r="A1920" s="17" t="n">
        <v>45427</v>
      </c>
      <c r="B1920" s="19" t="n">
        <v>0.00782621448793575</v>
      </c>
    </row>
    <row r="1921" customFormat="false" ht="15" hidden="false" customHeight="false" outlineLevel="0" collapsed="false">
      <c r="A1921" s="17" t="n">
        <v>45428</v>
      </c>
      <c r="B1921" s="19" t="n">
        <v>-0.00181019512829928</v>
      </c>
    </row>
    <row r="1922" customFormat="false" ht="15" hidden="false" customHeight="false" outlineLevel="0" collapsed="false">
      <c r="A1922" s="17" t="n">
        <v>45429</v>
      </c>
      <c r="B1922" s="19" t="n">
        <v>0.00171190505860919</v>
      </c>
    </row>
    <row r="1923" customFormat="false" ht="15" hidden="false" customHeight="false" outlineLevel="0" collapsed="false">
      <c r="A1923" s="17" t="n">
        <v>45432</v>
      </c>
      <c r="B1923" s="19" t="n">
        <v>-0.000424985355301333</v>
      </c>
    </row>
    <row r="1924" customFormat="false" ht="15" hidden="false" customHeight="false" outlineLevel="0" collapsed="false">
      <c r="A1924" s="17" t="n">
        <v>45433</v>
      </c>
      <c r="B1924" s="19" t="n">
        <v>0.000866322573574552</v>
      </c>
    </row>
    <row r="1925" customFormat="false" ht="15" hidden="false" customHeight="false" outlineLevel="0" collapsed="false">
      <c r="A1925" s="17" t="n">
        <v>45434</v>
      </c>
      <c r="B1925" s="19" t="n">
        <v>-0.00404998627629849</v>
      </c>
    </row>
    <row r="1926" customFormat="false" ht="15" hidden="false" customHeight="false" outlineLevel="0" collapsed="false">
      <c r="A1926" s="17" t="n">
        <v>45435</v>
      </c>
      <c r="B1926" s="19" t="n">
        <v>-0.00726391761405987</v>
      </c>
    </row>
    <row r="1927" customFormat="false" ht="15" hidden="false" customHeight="false" outlineLevel="0" collapsed="false">
      <c r="A1927" s="17" t="n">
        <v>45436</v>
      </c>
      <c r="B1927" s="19" t="n">
        <v>0.00325012221565513</v>
      </c>
    </row>
    <row r="1928" customFormat="false" ht="15" hidden="false" customHeight="false" outlineLevel="0" collapsed="false">
      <c r="A1928" s="17" t="n">
        <v>45440</v>
      </c>
      <c r="B1928" s="19" t="n">
        <v>-0.0022584978592578</v>
      </c>
    </row>
    <row r="1929" customFormat="false" ht="15" hidden="false" customHeight="false" outlineLevel="0" collapsed="false">
      <c r="A1929" s="17" t="n">
        <v>45441</v>
      </c>
      <c r="B1929" s="19" t="n">
        <v>-0.00625764569907239</v>
      </c>
    </row>
    <row r="1930" customFormat="false" ht="15" hidden="false" customHeight="false" outlineLevel="0" collapsed="false">
      <c r="A1930" s="17" t="n">
        <v>45442</v>
      </c>
      <c r="B1930" s="19" t="n">
        <v>0.0015816174114871</v>
      </c>
    </row>
    <row r="1931" customFormat="false" ht="15" hidden="false" customHeight="false" outlineLevel="0" collapsed="false">
      <c r="A1931" s="17" t="n">
        <v>45443</v>
      </c>
      <c r="B1931" s="19" t="n">
        <v>0.0039323343112323</v>
      </c>
    </row>
    <row r="1932" customFormat="false" ht="15" hidden="false" customHeight="false" outlineLevel="0" collapsed="false">
      <c r="A1932" s="17" t="n">
        <v>45446</v>
      </c>
      <c r="B1932" s="19" t="n">
        <v>0.0036304736840056</v>
      </c>
    </row>
    <row r="1933" customFormat="false" ht="15" hidden="false" customHeight="false" outlineLevel="0" collapsed="false">
      <c r="A1933" s="17" t="n">
        <v>45447</v>
      </c>
      <c r="B1933" s="19" t="n">
        <v>-0.000491105916859302</v>
      </c>
    </row>
    <row r="1934" customFormat="false" ht="15" hidden="false" customHeight="false" outlineLevel="0" collapsed="false">
      <c r="A1934" s="17" t="n">
        <v>45448</v>
      </c>
      <c r="B1934" s="19" t="n">
        <v>0.00638297301682056</v>
      </c>
    </row>
    <row r="1935" customFormat="false" ht="15" hidden="false" customHeight="false" outlineLevel="0" collapsed="false">
      <c r="A1935" s="17" t="n">
        <v>45449</v>
      </c>
      <c r="B1935" s="19" t="n">
        <v>0.000837976548804464</v>
      </c>
    </row>
    <row r="1936" customFormat="false" ht="15" hidden="false" customHeight="false" outlineLevel="0" collapsed="false">
      <c r="A1936" s="17" t="n">
        <v>45450</v>
      </c>
      <c r="B1936" s="19" t="n">
        <v>-0.00810117558840118</v>
      </c>
    </row>
    <row r="1937" customFormat="false" ht="15" hidden="false" customHeight="false" outlineLevel="0" collapsed="false">
      <c r="A1937" s="17" t="n">
        <v>45453</v>
      </c>
      <c r="B1937" s="19" t="n">
        <v>0.00246021762668325</v>
      </c>
    </row>
    <row r="1938" customFormat="false" ht="15" hidden="false" customHeight="false" outlineLevel="0" collapsed="false">
      <c r="A1938" s="17" t="n">
        <v>45454</v>
      </c>
      <c r="B1938" s="19" t="n">
        <v>0.000577030573465365</v>
      </c>
    </row>
    <row r="1939" customFormat="false" ht="15" hidden="false" customHeight="false" outlineLevel="0" collapsed="false">
      <c r="A1939" s="17" t="n">
        <v>45455</v>
      </c>
      <c r="B1939" s="19" t="n">
        <v>0.00539372907679403</v>
      </c>
    </row>
    <row r="1940" customFormat="false" ht="15" hidden="false" customHeight="false" outlineLevel="0" collapsed="false">
      <c r="A1940" s="17" t="n">
        <v>45456</v>
      </c>
      <c r="B1940" s="19" t="n">
        <v>-0.000504636749451781</v>
      </c>
    </row>
    <row r="1941" customFormat="false" ht="15" hidden="false" customHeight="false" outlineLevel="0" collapsed="false">
      <c r="A1941" s="17" t="n">
        <v>45457</v>
      </c>
      <c r="B1941" s="19" t="n">
        <v>0.000632043531769044</v>
      </c>
    </row>
    <row r="1942" customFormat="false" ht="15" hidden="false" customHeight="false" outlineLevel="0" collapsed="false">
      <c r="A1942" s="17" t="n">
        <v>45460</v>
      </c>
      <c r="B1942" s="19" t="n">
        <v>0.00140998310976692</v>
      </c>
    </row>
    <row r="1943" customFormat="false" ht="15" hidden="false" customHeight="false" outlineLevel="0" collapsed="false">
      <c r="A1943" s="17" t="n">
        <v>45461</v>
      </c>
      <c r="B1943" s="19" t="n">
        <v>0.00375070482415163</v>
      </c>
    </row>
    <row r="1944" customFormat="false" ht="15" hidden="false" customHeight="false" outlineLevel="0" collapsed="false">
      <c r="A1944" s="17" t="n">
        <v>45463</v>
      </c>
      <c r="B1944" s="19" t="n">
        <v>-0.000519309007038671</v>
      </c>
    </row>
    <row r="1945" customFormat="false" ht="15" hidden="false" customHeight="false" outlineLevel="0" collapsed="false">
      <c r="A1945" s="17" t="n">
        <v>45464</v>
      </c>
      <c r="B1945" s="19" t="n">
        <v>-0.00238661461028122</v>
      </c>
    </row>
    <row r="1946" customFormat="false" ht="15" hidden="false" customHeight="false" outlineLevel="0" collapsed="false">
      <c r="A1946" s="17" t="n">
        <v>45467</v>
      </c>
      <c r="B1946" s="19" t="n">
        <v>0.00106230952630471</v>
      </c>
    </row>
    <row r="1947" customFormat="false" ht="15" hidden="false" customHeight="false" outlineLevel="0" collapsed="false">
      <c r="A1947" s="17" t="n">
        <v>45468</v>
      </c>
      <c r="B1947" s="19" t="n">
        <v>0.000134858085649281</v>
      </c>
    </row>
    <row r="1948" customFormat="false" ht="15" hidden="false" customHeight="false" outlineLevel="0" collapsed="false">
      <c r="A1948" s="17" t="n">
        <v>45469</v>
      </c>
      <c r="B1948" s="19" t="n">
        <v>-0.00319144541810579</v>
      </c>
    </row>
    <row r="1949" customFormat="false" ht="15" hidden="false" customHeight="false" outlineLevel="0" collapsed="false">
      <c r="A1949" s="17" t="n">
        <v>45470</v>
      </c>
      <c r="B1949" s="19" t="n">
        <v>0.00303343096389863</v>
      </c>
    </row>
    <row r="1950" customFormat="false" ht="15" hidden="false" customHeight="false" outlineLevel="0" collapsed="false">
      <c r="A1950" s="17" t="n">
        <v>45471</v>
      </c>
      <c r="B1950" s="19" t="n">
        <v>-0.00185298063068717</v>
      </c>
    </row>
    <row r="1951" customFormat="false" ht="15" hidden="false" customHeight="false" outlineLevel="0" collapsed="false">
      <c r="A1951" s="17" t="n">
        <v>45474</v>
      </c>
      <c r="B1951" s="19" t="n">
        <v>-0.00110602420964656</v>
      </c>
    </row>
    <row r="1952" customFormat="false" ht="15" hidden="false" customHeight="false" outlineLevel="0" collapsed="false">
      <c r="A1952" s="17" t="n">
        <v>45475</v>
      </c>
      <c r="B1952" s="19" t="n">
        <v>0.00303075090863736</v>
      </c>
    </row>
    <row r="1953" customFormat="false" ht="15" hidden="false" customHeight="false" outlineLevel="0" collapsed="false">
      <c r="A1953" s="17" t="n">
        <v>45476</v>
      </c>
      <c r="B1953" s="19" t="n">
        <v>0.00562655748458929</v>
      </c>
    </row>
    <row r="1954" customFormat="false" ht="15" hidden="false" customHeight="false" outlineLevel="0" collapsed="false">
      <c r="A1954" s="17" t="n">
        <v>45478</v>
      </c>
      <c r="B1954" s="19" t="n">
        <v>0.00467169467509643</v>
      </c>
    </row>
    <row r="1955" customFormat="false" ht="15" hidden="false" customHeight="false" outlineLevel="0" collapsed="false">
      <c r="A1955" s="17" t="n">
        <v>45481</v>
      </c>
      <c r="B1955" s="19" t="n">
        <v>-0.000719650066750677</v>
      </c>
    </row>
    <row r="1956" customFormat="false" ht="15" hidden="false" customHeight="false" outlineLevel="0" collapsed="false">
      <c r="A1956" s="17" t="n">
        <v>45482</v>
      </c>
      <c r="B1956" s="19" t="n">
        <v>-0.000292418287751284</v>
      </c>
    </row>
    <row r="1957" customFormat="false" ht="15" hidden="false" customHeight="false" outlineLevel="0" collapsed="false">
      <c r="A1957" s="17" t="n">
        <v>45483</v>
      </c>
      <c r="B1957" s="19" t="n">
        <v>0.00508071044270908</v>
      </c>
    </row>
    <row r="1958" customFormat="false" ht="15" hidden="false" customHeight="false" outlineLevel="0" collapsed="false">
      <c r="A1958" s="17" t="n">
        <v>45484</v>
      </c>
      <c r="B1958" s="19" t="n">
        <v>0.00360766162840087</v>
      </c>
    </row>
    <row r="1959" customFormat="false" ht="15" hidden="false" customHeight="false" outlineLevel="0" collapsed="false">
      <c r="A1959" s="17" t="n">
        <v>45485</v>
      </c>
      <c r="B1959" s="19" t="n">
        <v>0.00427900305087636</v>
      </c>
    </row>
    <row r="1960" customFormat="false" ht="15" hidden="false" customHeight="false" outlineLevel="0" collapsed="false">
      <c r="A1960" s="17" t="n">
        <v>45488</v>
      </c>
      <c r="B1960" s="19" t="n">
        <v>-0.000541692798321836</v>
      </c>
    </row>
    <row r="1961" customFormat="false" ht="15" hidden="false" customHeight="false" outlineLevel="0" collapsed="false">
      <c r="A1961" s="17" t="n">
        <v>45489</v>
      </c>
      <c r="B1961" s="19" t="n">
        <v>0.0068048597122703</v>
      </c>
    </row>
    <row r="1962" customFormat="false" ht="15" hidden="false" customHeight="false" outlineLevel="0" collapsed="false">
      <c r="A1962" s="17" t="n">
        <v>45490</v>
      </c>
      <c r="B1962" s="19" t="n">
        <v>-0.0046919723093255</v>
      </c>
    </row>
    <row r="1963" customFormat="false" ht="15" hidden="false" customHeight="false" outlineLevel="0" collapsed="false">
      <c r="A1963" s="17" t="n">
        <v>45491</v>
      </c>
      <c r="B1963" s="19" t="n">
        <v>-0.0052224054492982</v>
      </c>
    </row>
    <row r="1964" customFormat="false" ht="15" hidden="false" customHeight="false" outlineLevel="0" collapsed="false">
      <c r="A1964" s="17" t="n">
        <v>45492</v>
      </c>
      <c r="B1964" s="19" t="n">
        <v>-0.00498533665018863</v>
      </c>
    </row>
    <row r="1965" customFormat="false" ht="15" hidden="false" customHeight="false" outlineLevel="0" collapsed="false">
      <c r="A1965" s="17" t="n">
        <v>45495</v>
      </c>
      <c r="B1965" s="19" t="n">
        <v>0.00439117740412476</v>
      </c>
    </row>
    <row r="1966" customFormat="false" ht="15" hidden="false" customHeight="false" outlineLevel="0" collapsed="false">
      <c r="A1966" s="17" t="n">
        <v>45496</v>
      </c>
      <c r="B1966" s="19" t="n">
        <v>-0.00115560567899042</v>
      </c>
    </row>
    <row r="1967" customFormat="false" ht="15" hidden="false" customHeight="false" outlineLevel="0" collapsed="false">
      <c r="A1967" s="17" t="n">
        <v>45497</v>
      </c>
      <c r="B1967" s="19" t="n">
        <v>-0.00942635719793683</v>
      </c>
    </row>
    <row r="1968" customFormat="false" ht="15" hidden="false" customHeight="false" outlineLevel="0" collapsed="false">
      <c r="A1968" s="17" t="n">
        <v>45498</v>
      </c>
      <c r="B1968" s="19" t="n">
        <v>-0.00222247051359903</v>
      </c>
    </row>
    <row r="1969" customFormat="false" ht="15" hidden="false" customHeight="false" outlineLevel="0" collapsed="false">
      <c r="A1969" s="17" t="n">
        <v>45499</v>
      </c>
      <c r="B1969" s="19" t="n">
        <v>0.00795606730639609</v>
      </c>
    </row>
    <row r="1970" customFormat="false" ht="15" hidden="false" customHeight="false" outlineLevel="0" collapsed="false">
      <c r="A1970" s="17" t="n">
        <v>45502</v>
      </c>
      <c r="B1970" s="19" t="n">
        <v>0.000316503919989719</v>
      </c>
    </row>
    <row r="1971" customFormat="false" ht="15" hidden="false" customHeight="false" outlineLevel="0" collapsed="false">
      <c r="A1971" s="17" t="n">
        <v>45503</v>
      </c>
      <c r="B1971" s="19" t="n">
        <v>0.000476328626155986</v>
      </c>
    </row>
    <row r="1972" customFormat="false" ht="15" hidden="false" customHeight="false" outlineLevel="0" collapsed="false">
      <c r="A1972" s="17" t="n">
        <v>45504</v>
      </c>
      <c r="B1972" s="19" t="n">
        <v>0.0092000757547055</v>
      </c>
    </row>
    <row r="1973" customFormat="false" ht="15" hidden="false" customHeight="false" outlineLevel="0" collapsed="false">
      <c r="A1973" s="17" t="n">
        <v>45505</v>
      </c>
      <c r="B1973" s="19" t="n">
        <v>-0.00683536361828396</v>
      </c>
    </row>
    <row r="1974" customFormat="false" ht="15" hidden="false" customHeight="false" outlineLevel="0" collapsed="false">
      <c r="A1974" s="17" t="n">
        <v>45506</v>
      </c>
      <c r="B1974" s="19" t="n">
        <v>-0.00447192067865088</v>
      </c>
    </row>
    <row r="1975" customFormat="false" ht="15" hidden="false" customHeight="false" outlineLevel="0" collapsed="false">
      <c r="A1975" s="17" t="n">
        <v>45509</v>
      </c>
      <c r="B1975" s="19" t="n">
        <v>-0.0141031447048406</v>
      </c>
    </row>
    <row r="1976" customFormat="false" ht="15" hidden="false" customHeight="false" outlineLevel="0" collapsed="false">
      <c r="A1976" s="17" t="n">
        <v>45510</v>
      </c>
      <c r="B1976" s="19" t="n">
        <v>0.00126902485692781</v>
      </c>
    </row>
    <row r="1977" customFormat="false" ht="15" hidden="false" customHeight="false" outlineLevel="0" collapsed="false">
      <c r="A1977" s="17" t="n">
        <v>45511</v>
      </c>
      <c r="B1977" s="19" t="n">
        <v>-0.00214135619802491</v>
      </c>
    </row>
    <row r="1978" customFormat="false" ht="15" hidden="false" customHeight="false" outlineLevel="0" collapsed="false">
      <c r="A1978" s="17" t="n">
        <v>45512</v>
      </c>
      <c r="B1978" s="19" t="n">
        <v>0.010057262932142</v>
      </c>
    </row>
    <row r="1979" customFormat="false" ht="15" hidden="false" customHeight="false" outlineLevel="0" collapsed="false">
      <c r="A1979" s="17" t="n">
        <v>45513</v>
      </c>
      <c r="B1979" s="19" t="n">
        <v>0.00316837062659259</v>
      </c>
    </row>
    <row r="1980" customFormat="false" ht="15" hidden="false" customHeight="false" outlineLevel="0" collapsed="false">
      <c r="A1980" s="17" t="n">
        <v>45516</v>
      </c>
      <c r="B1980" s="19" t="n">
        <v>0.00202531566987152</v>
      </c>
    </row>
    <row r="1981" customFormat="false" ht="15" hidden="false" customHeight="false" outlineLevel="0" collapsed="false">
      <c r="A1981" s="17" t="n">
        <v>45517</v>
      </c>
      <c r="B1981" s="19" t="n">
        <v>0.00769865945234716</v>
      </c>
    </row>
    <row r="1982" customFormat="false" ht="15" hidden="false" customHeight="false" outlineLevel="0" collapsed="false">
      <c r="A1982" s="17" t="n">
        <v>45518</v>
      </c>
      <c r="B1982" s="19" t="n">
        <v>0.000566935392154688</v>
      </c>
    </row>
    <row r="1983" customFormat="false" ht="15" hidden="false" customHeight="false" outlineLevel="0" collapsed="false">
      <c r="A1983" s="17" t="n">
        <v>45519</v>
      </c>
      <c r="B1983" s="19" t="n">
        <v>0.00556440408027492</v>
      </c>
    </row>
    <row r="1984" customFormat="false" ht="15" hidden="false" customHeight="false" outlineLevel="0" collapsed="false">
      <c r="A1984" s="17" t="n">
        <v>45520</v>
      </c>
      <c r="B1984" s="19" t="n">
        <v>0.0037777156982981</v>
      </c>
    </row>
    <row r="1985" customFormat="false" ht="15" hidden="false" customHeight="false" outlineLevel="0" collapsed="false">
      <c r="A1985" s="17" t="n">
        <v>45523</v>
      </c>
      <c r="B1985" s="19" t="n">
        <v>0.00479279057270254</v>
      </c>
    </row>
    <row r="1986" customFormat="false" ht="15" hidden="false" customHeight="false" outlineLevel="0" collapsed="false">
      <c r="A1986" s="17" t="n">
        <v>45524</v>
      </c>
      <c r="B1986" s="19" t="n">
        <v>0.000250812265599976</v>
      </c>
    </row>
    <row r="1987" customFormat="false" ht="15" hidden="false" customHeight="false" outlineLevel="0" collapsed="false">
      <c r="A1987" s="17" t="n">
        <v>45525</v>
      </c>
      <c r="B1987" s="19" t="n">
        <v>0.00397546857939823</v>
      </c>
    </row>
    <row r="1988" customFormat="false" ht="15" hidden="false" customHeight="false" outlineLevel="0" collapsed="false">
      <c r="A1988" s="17" t="n">
        <v>45526</v>
      </c>
      <c r="B1988" s="19" t="n">
        <v>-0.00572407876053227</v>
      </c>
    </row>
    <row r="1989" customFormat="false" ht="15" hidden="false" customHeight="false" outlineLevel="0" collapsed="false">
      <c r="A1989" s="17" t="n">
        <v>45527</v>
      </c>
      <c r="B1989" s="19" t="n">
        <v>0.00934330634951186</v>
      </c>
    </row>
    <row r="1990" customFormat="false" ht="15" hidden="false" customHeight="false" outlineLevel="0" collapsed="false">
      <c r="A1990" s="17" t="n">
        <v>45530</v>
      </c>
      <c r="B1990" s="19" t="n">
        <v>-0.00143968923720206</v>
      </c>
    </row>
    <row r="1991" customFormat="false" ht="15" hidden="false" customHeight="false" outlineLevel="0" collapsed="false">
      <c r="A1991" s="17" t="n">
        <v>45531</v>
      </c>
      <c r="B1991" s="19" t="n">
        <v>0.00092120693087705</v>
      </c>
    </row>
    <row r="1992" customFormat="false" ht="15" hidden="false" customHeight="false" outlineLevel="0" collapsed="false">
      <c r="A1992" s="17" t="n">
        <v>45532</v>
      </c>
      <c r="B1992" s="19" t="n">
        <v>-0.00350344327751939</v>
      </c>
    </row>
    <row r="1993" customFormat="false" ht="15" hidden="false" customHeight="false" outlineLevel="0" collapsed="false">
      <c r="A1993" s="17" t="n">
        <v>45533</v>
      </c>
      <c r="B1993" s="19" t="n">
        <v>0.000507625467720541</v>
      </c>
    </row>
    <row r="1994" customFormat="false" ht="15" hidden="false" customHeight="false" outlineLevel="0" collapsed="false">
      <c r="A1994" s="17" t="n">
        <v>45534</v>
      </c>
      <c r="B1994" s="19" t="n">
        <v>0.00203391319204904</v>
      </c>
    </row>
    <row r="1995" customFormat="false" ht="15" hidden="false" customHeight="false" outlineLevel="0" collapsed="false">
      <c r="A1995" s="17" t="n">
        <v>45538</v>
      </c>
      <c r="B1995" s="19" t="n">
        <v>-0.00696648316479553</v>
      </c>
    </row>
    <row r="1996" customFormat="false" ht="15" hidden="false" customHeight="false" outlineLevel="0" collapsed="false">
      <c r="A1996" s="17" t="n">
        <v>45539</v>
      </c>
      <c r="B1996" s="19" t="n">
        <v>0.00064646005771718</v>
      </c>
    </row>
    <row r="1997" customFormat="false" ht="15" hidden="false" customHeight="false" outlineLevel="0" collapsed="false">
      <c r="A1997" s="17" t="n">
        <v>45540</v>
      </c>
      <c r="B1997" s="19" t="n">
        <v>0.000704175023178877</v>
      </c>
    </row>
    <row r="1998" customFormat="false" ht="15" hidden="false" customHeight="false" outlineLevel="0" collapsed="false">
      <c r="A1998" s="17" t="n">
        <v>45541</v>
      </c>
      <c r="B1998" s="19" t="n">
        <v>-0.00729534725773318</v>
      </c>
    </row>
    <row r="1999" customFormat="false" ht="15" hidden="false" customHeight="false" outlineLevel="0" collapsed="false">
      <c r="A1999" s="17" t="n">
        <v>45544</v>
      </c>
      <c r="B1999" s="19" t="n">
        <v>0.00531845825570421</v>
      </c>
    </row>
    <row r="2000" customFormat="false" ht="15" hidden="false" customHeight="false" outlineLevel="0" collapsed="false">
      <c r="A2000" s="17" t="n">
        <v>45545</v>
      </c>
      <c r="B2000" s="19" t="n">
        <v>0.00238129155544375</v>
      </c>
    </row>
    <row r="2001" customFormat="false" ht="15" hidden="false" customHeight="false" outlineLevel="0" collapsed="false">
      <c r="A2001" s="17" t="n">
        <v>45546</v>
      </c>
      <c r="B2001" s="19" t="n">
        <v>0.00259676559520061</v>
      </c>
    </row>
    <row r="2002" customFormat="false" ht="15" hidden="false" customHeight="false" outlineLevel="0" collapsed="false">
      <c r="A2002" s="17" t="n">
        <v>45547</v>
      </c>
      <c r="B2002" s="19" t="n">
        <v>0.00445468509254465</v>
      </c>
    </row>
    <row r="2003" customFormat="false" ht="15" hidden="false" customHeight="false" outlineLevel="0" collapsed="false">
      <c r="A2003" s="17" t="n">
        <v>45548</v>
      </c>
      <c r="B2003" s="19" t="n">
        <v>0.00460381399009457</v>
      </c>
    </row>
    <row r="2004" customFormat="false" ht="15" hidden="false" customHeight="false" outlineLevel="0" collapsed="false">
      <c r="A2004" s="17" t="n">
        <v>45551</v>
      </c>
      <c r="B2004" s="19" t="n">
        <v>0.0025778064656079</v>
      </c>
    </row>
    <row r="2005" customFormat="false" ht="15" hidden="false" customHeight="false" outlineLevel="0" collapsed="false">
      <c r="A2005" s="17" t="n">
        <v>45552</v>
      </c>
      <c r="B2005" s="19" t="n">
        <v>-0.000919737924730879</v>
      </c>
    </row>
    <row r="2006" customFormat="false" ht="15" hidden="false" customHeight="false" outlineLevel="0" collapsed="false">
      <c r="A2006" s="17" t="n">
        <v>45553</v>
      </c>
      <c r="B2006" s="19" t="n">
        <v>-0.00294614120260817</v>
      </c>
    </row>
    <row r="2007" customFormat="false" ht="15" hidden="false" customHeight="false" outlineLevel="0" collapsed="false">
      <c r="A2007" s="17" t="n">
        <v>45554</v>
      </c>
      <c r="B2007" s="19" t="n">
        <v>0.00869525545379513</v>
      </c>
    </row>
    <row r="2008" customFormat="false" ht="15" hidden="false" customHeight="false" outlineLevel="0" collapsed="false">
      <c r="A2008" s="17" t="n">
        <v>45555</v>
      </c>
      <c r="B2008" s="19" t="n">
        <v>0.000128370504608233</v>
      </c>
    </row>
    <row r="2009" customFormat="false" ht="15" hidden="false" customHeight="false" outlineLevel="0" collapsed="false">
      <c r="A2009" s="17" t="n">
        <v>45558</v>
      </c>
      <c r="B2009" s="19" t="n">
        <v>0.00186034441239413</v>
      </c>
    </row>
    <row r="2010" customFormat="false" ht="15" hidden="false" customHeight="false" outlineLevel="0" collapsed="false">
      <c r="A2010" s="17" t="n">
        <v>45559</v>
      </c>
      <c r="B2010" s="19" t="n">
        <v>0.00520285499295636</v>
      </c>
    </row>
    <row r="2011" customFormat="false" ht="15" hidden="false" customHeight="false" outlineLevel="0" collapsed="false">
      <c r="A2011" s="17" t="n">
        <v>45560</v>
      </c>
      <c r="B2011" s="19" t="n">
        <v>-0.00360263303710862</v>
      </c>
    </row>
    <row r="2012" customFormat="false" ht="15" hidden="false" customHeight="false" outlineLevel="0" collapsed="false">
      <c r="A2012" s="17" t="n">
        <v>45561</v>
      </c>
      <c r="B2012" s="19" t="n">
        <v>0.00505666198850685</v>
      </c>
    </row>
    <row r="2013" customFormat="false" ht="15" hidden="false" customHeight="false" outlineLevel="0" collapsed="false">
      <c r="A2013" s="17" t="n">
        <v>45562</v>
      </c>
      <c r="B2013" s="19" t="n">
        <v>-0.000430371624443149</v>
      </c>
    </row>
    <row r="2014" customFormat="false" ht="15" hidden="false" customHeight="false" outlineLevel="0" collapsed="false">
      <c r="A2014" s="17" t="n">
        <v>45565</v>
      </c>
      <c r="B2014" s="19" t="n">
        <v>-0.00145413983212972</v>
      </c>
    </row>
    <row r="2015" customFormat="false" ht="15" hidden="false" customHeight="false" outlineLevel="0" collapsed="false">
      <c r="A2015" s="17" t="n">
        <v>45566</v>
      </c>
      <c r="B2015" s="19" t="n">
        <v>-0.00146401416965158</v>
      </c>
    </row>
    <row r="2016" customFormat="false" ht="15" hidden="false" customHeight="false" outlineLevel="0" collapsed="false">
      <c r="A2016" s="17" t="n">
        <v>45567</v>
      </c>
      <c r="B2016" s="19" t="n">
        <v>0.000102985578193104</v>
      </c>
    </row>
    <row r="2017" customFormat="false" ht="15" hidden="false" customHeight="false" outlineLevel="0" collapsed="false">
      <c r="A2017" s="17" t="n">
        <v>45568</v>
      </c>
      <c r="B2017" s="19" t="n">
        <v>-0.00495819380036477</v>
      </c>
    </row>
    <row r="2018" customFormat="false" ht="15" hidden="false" customHeight="false" outlineLevel="0" collapsed="false">
      <c r="A2018" s="17" t="n">
        <v>45569</v>
      </c>
      <c r="B2018" s="19" t="n">
        <v>0.000893274205674866</v>
      </c>
    </row>
    <row r="2019" customFormat="false" ht="15" hidden="false" customHeight="false" outlineLevel="0" collapsed="false">
      <c r="A2019" s="17" t="n">
        <v>45572</v>
      </c>
      <c r="B2019" s="19" t="n">
        <v>-0.00386230206405358</v>
      </c>
    </row>
    <row r="2020" customFormat="false" ht="15" hidden="false" customHeight="false" outlineLevel="0" collapsed="false">
      <c r="A2020" s="17" t="n">
        <v>45573</v>
      </c>
      <c r="B2020" s="19" t="n">
        <v>0.00113231611317</v>
      </c>
    </row>
    <row r="2021" customFormat="false" ht="15" hidden="false" customHeight="false" outlineLevel="0" collapsed="false">
      <c r="A2021" s="17" t="n">
        <v>45574</v>
      </c>
      <c r="B2021" s="19" t="n">
        <v>0.000200814104336144</v>
      </c>
    </row>
    <row r="2022" customFormat="false" ht="15" hidden="false" customHeight="false" outlineLevel="0" collapsed="false">
      <c r="A2022" s="17" t="n">
        <v>45575</v>
      </c>
      <c r="B2022" s="19" t="n">
        <v>-0.000244737310916454</v>
      </c>
    </row>
    <row r="2023" customFormat="false" ht="15" hidden="false" customHeight="false" outlineLevel="0" collapsed="false">
      <c r="A2023" s="17" t="n">
        <v>45576</v>
      </c>
      <c r="B2023" s="19" t="n">
        <v>0.00416550999032928</v>
      </c>
    </row>
    <row r="2024" customFormat="false" ht="15" hidden="false" customHeight="false" outlineLevel="0" collapsed="false">
      <c r="A2024" s="17" t="n">
        <v>45579</v>
      </c>
      <c r="B2024" s="19" t="n">
        <v>0.00188024061091663</v>
      </c>
    </row>
    <row r="2025" customFormat="false" ht="15" hidden="false" customHeight="false" outlineLevel="0" collapsed="false">
      <c r="A2025" s="17" t="n">
        <v>45580</v>
      </c>
      <c r="B2025" s="19" t="n">
        <v>-0.00235615693122804</v>
      </c>
    </row>
    <row r="2026" customFormat="false" ht="15" hidden="false" customHeight="false" outlineLevel="0" collapsed="false">
      <c r="A2026" s="17" t="n">
        <v>45581</v>
      </c>
      <c r="B2026" s="19" t="n">
        <v>0.00341923888401507</v>
      </c>
    </row>
    <row r="2027" customFormat="false" ht="15" hidden="false" customHeight="false" outlineLevel="0" collapsed="false">
      <c r="A2027" s="17" t="n">
        <v>45582</v>
      </c>
      <c r="B2027" s="19" t="n">
        <v>-0.00186885178209661</v>
      </c>
    </row>
    <row r="2028" customFormat="false" ht="15" hidden="false" customHeight="false" outlineLevel="0" collapsed="false">
      <c r="A2028" s="17" t="n">
        <v>45583</v>
      </c>
      <c r="B2028" s="19" t="n">
        <v>0.00349314266220224</v>
      </c>
    </row>
    <row r="2029" customFormat="false" ht="15" hidden="false" customHeight="false" outlineLevel="0" collapsed="false">
      <c r="A2029" s="17" t="n">
        <v>45586</v>
      </c>
      <c r="B2029" s="19" t="n">
        <v>-0.00511350744187333</v>
      </c>
    </row>
    <row r="2030" customFormat="false" ht="15" hidden="false" customHeight="false" outlineLevel="0" collapsed="false">
      <c r="A2030" s="17" t="n">
        <v>45587</v>
      </c>
      <c r="B2030" s="19" t="n">
        <v>0.000250653734243711</v>
      </c>
    </row>
    <row r="2031" customFormat="false" ht="15" hidden="false" customHeight="false" outlineLevel="0" collapsed="false">
      <c r="A2031" s="17" t="n">
        <v>45588</v>
      </c>
      <c r="B2031" s="19" t="n">
        <v>-0.00563189278114096</v>
      </c>
    </row>
    <row r="2032" customFormat="false" ht="15" hidden="false" customHeight="false" outlineLevel="0" collapsed="false">
      <c r="A2032" s="17" t="n">
        <v>45589</v>
      </c>
      <c r="B2032" s="19" t="n">
        <v>0.00215558697479468</v>
      </c>
    </row>
    <row r="2033" customFormat="false" ht="15" hidden="false" customHeight="false" outlineLevel="0" collapsed="false">
      <c r="A2033" s="17" t="n">
        <v>45590</v>
      </c>
      <c r="B2033" s="19" t="n">
        <v>-0.00152238535909</v>
      </c>
    </row>
    <row r="2034" customFormat="false" ht="15" hidden="false" customHeight="false" outlineLevel="0" collapsed="false">
      <c r="A2034" s="17" t="n">
        <v>45593</v>
      </c>
      <c r="B2034" s="19" t="n">
        <v>0.00243985165349359</v>
      </c>
    </row>
    <row r="2035" customFormat="false" ht="15" hidden="false" customHeight="false" outlineLevel="0" collapsed="false">
      <c r="A2035" s="17" t="n">
        <v>45594</v>
      </c>
      <c r="B2035" s="19" t="n">
        <v>0.000991635869203922</v>
      </c>
    </row>
    <row r="2036" customFormat="false" ht="15" hidden="false" customHeight="false" outlineLevel="0" collapsed="false">
      <c r="A2036" s="17" t="n">
        <v>45595</v>
      </c>
      <c r="B2036" s="19" t="n">
        <v>-0.000964381704885997</v>
      </c>
    </row>
    <row r="2037" customFormat="false" ht="15" hidden="false" customHeight="false" outlineLevel="0" collapsed="false">
      <c r="A2037" s="17" t="n">
        <v>45596</v>
      </c>
      <c r="B2037" s="19" t="n">
        <v>-0.00778703376391299</v>
      </c>
    </row>
    <row r="2038" customFormat="false" ht="15" hidden="false" customHeight="false" outlineLevel="0" collapsed="false">
      <c r="A2038" s="17" t="n">
        <v>45597</v>
      </c>
      <c r="B2038" s="19" t="n">
        <v>-0.000527006831585242</v>
      </c>
    </row>
    <row r="2039" customFormat="false" ht="15" hidden="false" customHeight="false" outlineLevel="0" collapsed="false">
      <c r="A2039" s="17" t="n">
        <v>45600</v>
      </c>
      <c r="B2039" s="19" t="n">
        <v>0.00130066707058019</v>
      </c>
    </row>
    <row r="2040" customFormat="false" ht="15" hidden="false" customHeight="false" outlineLevel="0" collapsed="false">
      <c r="A2040" s="17" t="n">
        <v>45601</v>
      </c>
      <c r="B2040" s="19" t="n">
        <v>0.00638019442200588</v>
      </c>
    </row>
    <row r="2041" customFormat="false" ht="15" hidden="false" customHeight="false" outlineLevel="0" collapsed="false">
      <c r="A2041" s="17" t="n">
        <v>45602</v>
      </c>
      <c r="B2041" s="19" t="n">
        <v>0.000523038958732514</v>
      </c>
    </row>
    <row r="2042" customFormat="false" ht="15" hidden="false" customHeight="false" outlineLevel="0" collapsed="false">
      <c r="A2042" s="17" t="n">
        <v>45603</v>
      </c>
      <c r="B2042" s="19" t="n">
        <v>0.00845655491094011</v>
      </c>
    </row>
    <row r="2043" customFormat="false" ht="15" hidden="false" customHeight="false" outlineLevel="0" collapsed="false">
      <c r="A2043" s="17" t="n">
        <v>45604</v>
      </c>
      <c r="B2043" s="19" t="n">
        <v>-0.0007892911254892</v>
      </c>
    </row>
    <row r="2044" customFormat="false" ht="15" hidden="false" customHeight="false" outlineLevel="0" collapsed="false">
      <c r="A2044" s="17" t="n">
        <v>45607</v>
      </c>
      <c r="B2044" s="19" t="n">
        <v>-0.00238772119294484</v>
      </c>
    </row>
    <row r="2045" customFormat="false" ht="15" hidden="false" customHeight="false" outlineLevel="0" collapsed="false">
      <c r="A2045" s="17" t="n">
        <v>45608</v>
      </c>
      <c r="B2045" s="19" t="n">
        <v>-0.00658031752945409</v>
      </c>
    </row>
    <row r="2046" customFormat="false" ht="15" hidden="false" customHeight="false" outlineLevel="0" collapsed="false">
      <c r="A2046" s="17" t="n">
        <v>45609</v>
      </c>
      <c r="B2046" s="19" t="n">
        <v>-0.0022640076581073</v>
      </c>
    </row>
    <row r="2047" customFormat="false" ht="15" hidden="false" customHeight="false" outlineLevel="0" collapsed="false">
      <c r="A2047" s="17" t="n">
        <v>45610</v>
      </c>
      <c r="B2047" s="19" t="n">
        <v>-0.00306330880449957</v>
      </c>
    </row>
    <row r="2048" customFormat="false" ht="15" hidden="false" customHeight="false" outlineLevel="0" collapsed="false">
      <c r="A2048" s="17" t="n">
        <v>45611</v>
      </c>
      <c r="B2048" s="19" t="n">
        <v>-0.00398606942501467</v>
      </c>
    </row>
    <row r="2049" customFormat="false" ht="15" hidden="false" customHeight="false" outlineLevel="0" collapsed="false">
      <c r="A2049" s="17" t="n">
        <v>45614</v>
      </c>
      <c r="B2049" s="19" t="n">
        <v>0.00492694459505594</v>
      </c>
    </row>
    <row r="2050" customFormat="false" ht="15" hidden="false" customHeight="false" outlineLevel="0" collapsed="false">
      <c r="A2050" s="17" t="n">
        <v>45615</v>
      </c>
      <c r="B2050" s="19" t="n">
        <v>0.00294854021358537</v>
      </c>
    </row>
    <row r="2051" customFormat="false" ht="15" hidden="false" customHeight="false" outlineLevel="0" collapsed="false">
      <c r="A2051" s="17" t="n">
        <v>45616</v>
      </c>
      <c r="B2051" s="19" t="n">
        <v>-5.2341480226703E-005</v>
      </c>
    </row>
    <row r="2052" customFormat="false" ht="15" hidden="false" customHeight="false" outlineLevel="0" collapsed="false">
      <c r="A2052" s="17" t="n">
        <v>45617</v>
      </c>
      <c r="B2052" s="19" t="n">
        <v>0.00235802325237433</v>
      </c>
    </row>
    <row r="2053" customFormat="false" ht="15" hidden="false" customHeight="false" outlineLevel="0" collapsed="false">
      <c r="A2053" s="17" t="n">
        <v>45618</v>
      </c>
      <c r="B2053" s="19" t="n">
        <v>0.00309032261454001</v>
      </c>
    </row>
    <row r="2054" customFormat="false" ht="15" hidden="false" customHeight="false" outlineLevel="0" collapsed="false">
      <c r="A2054" s="17" t="n">
        <v>45621</v>
      </c>
      <c r="B2054" s="19" t="n">
        <v>0.00261365993590013</v>
      </c>
    </row>
    <row r="2055" customFormat="false" ht="15" hidden="false" customHeight="false" outlineLevel="0" collapsed="false">
      <c r="A2055" s="17" t="n">
        <v>45622</v>
      </c>
      <c r="B2055" s="19" t="n">
        <v>-0.000410253465252586</v>
      </c>
    </row>
    <row r="2056" customFormat="false" ht="15" hidden="false" customHeight="false" outlineLevel="0" collapsed="false">
      <c r="A2056" s="17" t="n">
        <v>45623</v>
      </c>
      <c r="B2056" s="19" t="n">
        <v>0.000967660686285177</v>
      </c>
    </row>
    <row r="2057" customFormat="false" ht="15" hidden="false" customHeight="false" outlineLevel="0" collapsed="false">
      <c r="A2057" s="17" t="n">
        <v>45625</v>
      </c>
      <c r="B2057" s="19" t="n">
        <v>0.00519920914067318</v>
      </c>
    </row>
    <row r="2058" customFormat="false" ht="15" hidden="false" customHeight="false" outlineLevel="0" collapsed="false">
      <c r="A2058" s="17" t="n">
        <v>45628</v>
      </c>
      <c r="B2058" s="19" t="n">
        <v>-0.000246706793412321</v>
      </c>
    </row>
    <row r="2059" customFormat="false" ht="15" hidden="false" customHeight="false" outlineLevel="0" collapsed="false">
      <c r="A2059" s="17" t="n">
        <v>45629</v>
      </c>
      <c r="B2059" s="19" t="n">
        <v>0.000223730469302463</v>
      </c>
    </row>
    <row r="2060" customFormat="false" ht="15" hidden="false" customHeight="false" outlineLevel="0" collapsed="false">
      <c r="A2060" s="17" t="n">
        <v>45630</v>
      </c>
      <c r="B2060" s="19" t="n">
        <v>0.00322198835031728</v>
      </c>
    </row>
    <row r="2061" customFormat="false" ht="15" hidden="false" customHeight="false" outlineLevel="0" collapsed="false">
      <c r="A2061" s="17" t="n">
        <v>45631</v>
      </c>
      <c r="B2061" s="19" t="n">
        <v>-0.000530307426906518</v>
      </c>
    </row>
    <row r="2062" customFormat="false" ht="15" hidden="false" customHeight="false" outlineLevel="0" collapsed="false">
      <c r="A2062" s="17" t="n">
        <v>45632</v>
      </c>
      <c r="B2062" s="19" t="n">
        <v>0.00133522862406954</v>
      </c>
    </row>
    <row r="2063" customFormat="false" ht="15" hidden="false" customHeight="false" outlineLevel="0" collapsed="false">
      <c r="A2063" s="17" t="n">
        <v>45635</v>
      </c>
      <c r="B2063" s="19" t="n">
        <v>-0.00032818305388016</v>
      </c>
    </row>
    <row r="2064" customFormat="false" ht="15" hidden="false" customHeight="false" outlineLevel="0" collapsed="false">
      <c r="A2064" s="17" t="n">
        <v>45636</v>
      </c>
      <c r="B2064" s="19" t="n">
        <v>-0.00253663532894155</v>
      </c>
    </row>
    <row r="2065" customFormat="false" ht="15" hidden="false" customHeight="false" outlineLevel="0" collapsed="false">
      <c r="A2065" s="17" t="n">
        <v>45637</v>
      </c>
      <c r="B2065" s="19" t="n">
        <v>0.00316629196711871</v>
      </c>
    </row>
    <row r="2066" customFormat="false" ht="15" hidden="false" customHeight="false" outlineLevel="0" collapsed="false">
      <c r="A2066" s="17" t="n">
        <v>45638</v>
      </c>
      <c r="B2066" s="19" t="n">
        <v>-0.0054511323142783</v>
      </c>
    </row>
    <row r="2067" customFormat="false" ht="15" hidden="false" customHeight="false" outlineLevel="0" collapsed="false">
      <c r="A2067" s="17" t="n">
        <v>45639</v>
      </c>
      <c r="B2067" s="19" t="n">
        <v>-0.00250752742911053</v>
      </c>
    </row>
    <row r="2068" customFormat="false" ht="15" hidden="false" customHeight="false" outlineLevel="0" collapsed="false">
      <c r="A2068" s="17" t="n">
        <v>45642</v>
      </c>
      <c r="B2068" s="19" t="n">
        <v>0.00210055407312293</v>
      </c>
    </row>
    <row r="2069" customFormat="false" ht="15" hidden="false" customHeight="false" outlineLevel="0" collapsed="false">
      <c r="A2069" s="17" t="n">
        <v>45643</v>
      </c>
      <c r="B2069" s="19" t="n">
        <v>-0.002733901441487</v>
      </c>
    </row>
    <row r="2070" customFormat="false" ht="15" hidden="false" customHeight="false" outlineLevel="0" collapsed="false">
      <c r="A2070" s="17" t="n">
        <v>45644</v>
      </c>
      <c r="B2070" s="19" t="n">
        <v>-0.0179688304180395</v>
      </c>
    </row>
    <row r="2071" customFormat="false" ht="15" hidden="false" customHeight="false" outlineLevel="0" collapsed="false">
      <c r="A2071" s="17" t="n">
        <v>45645</v>
      </c>
      <c r="B2071" s="19" t="n">
        <v>-0.00186334506516428</v>
      </c>
    </row>
    <row r="2072" customFormat="false" ht="15" hidden="false" customHeight="false" outlineLevel="0" collapsed="false">
      <c r="A2072" s="17" t="n">
        <v>45646</v>
      </c>
      <c r="B2072" s="19" t="n">
        <v>0.00602261380811076</v>
      </c>
    </row>
    <row r="2073" customFormat="false" ht="15" hidden="false" customHeight="false" outlineLevel="0" collapsed="false">
      <c r="A2073" s="17" t="n">
        <v>45649</v>
      </c>
      <c r="B2073" s="19" t="n">
        <v>0.00132752278842263</v>
      </c>
    </row>
    <row r="2074" customFormat="false" ht="15" hidden="false" customHeight="false" outlineLevel="0" collapsed="false">
      <c r="A2074" s="17" t="n">
        <v>45650</v>
      </c>
      <c r="B2074" s="19" t="n">
        <v>0.0044797221368138</v>
      </c>
    </row>
    <row r="2075" customFormat="false" ht="15" hidden="false" customHeight="false" outlineLevel="0" collapsed="false">
      <c r="A2075" s="17" t="n">
        <v>45652</v>
      </c>
      <c r="B2075" s="19" t="n">
        <v>0.00117044362427832</v>
      </c>
    </row>
    <row r="2076" customFormat="false" ht="15" hidden="false" customHeight="false" outlineLevel="0" collapsed="false">
      <c r="A2076" s="17" t="n">
        <v>45653</v>
      </c>
      <c r="B2076" s="19" t="n">
        <v>-0.00520171930654678</v>
      </c>
    </row>
    <row r="2077" customFormat="false" ht="15" hidden="false" customHeight="false" outlineLevel="0" collapsed="false">
      <c r="A2077" s="17" t="n">
        <v>45656</v>
      </c>
      <c r="B2077" s="19" t="n">
        <v>-0.00289538393233857</v>
      </c>
    </row>
    <row r="2078" customFormat="false" ht="15" hidden="false" customHeight="false" outlineLevel="0" collapsed="false">
      <c r="A2078" s="17" t="n">
        <v>45657</v>
      </c>
      <c r="B2078" s="19" t="n">
        <v>-0.000437484270352728</v>
      </c>
    </row>
    <row r="2079" customFormat="false" ht="15" hidden="false" customHeight="false" outlineLevel="0" collapsed="false">
      <c r="A2079" s="17" t="n">
        <v>45659</v>
      </c>
      <c r="B2079" s="19" t="n">
        <v>-8.6071903363627E-005</v>
      </c>
    </row>
    <row r="2080" customFormat="false" ht="15" hidden="false" customHeight="false" outlineLevel="0" collapsed="false">
      <c r="A2080" s="17" t="n">
        <v>45660</v>
      </c>
      <c r="B2080" s="19" t="n">
        <v>0.00381882242532972</v>
      </c>
    </row>
    <row r="2081" customFormat="false" ht="15" hidden="false" customHeight="false" outlineLevel="0" collapsed="false">
      <c r="A2081" s="17" t="n">
        <v>45663</v>
      </c>
      <c r="B2081" s="19" t="n">
        <v>0.00163287071465046</v>
      </c>
    </row>
    <row r="2082" customFormat="false" ht="15" hidden="false" customHeight="false" outlineLevel="0" collapsed="false">
      <c r="A2082" s="17" t="n">
        <v>45664</v>
      </c>
      <c r="B2082" s="19" t="n">
        <v>-0.00453344784893517</v>
      </c>
    </row>
    <row r="2083" customFormat="false" ht="15" hidden="false" customHeight="false" outlineLevel="0" collapsed="false">
      <c r="A2083" s="17" t="n">
        <v>45665</v>
      </c>
      <c r="B2083" s="19" t="n">
        <v>0.000943238641557542</v>
      </c>
    </row>
    <row r="2084" customFormat="false" ht="15" hidden="false" customHeight="false" outlineLevel="0" collapsed="false">
      <c r="A2084" s="17" t="n">
        <v>45667</v>
      </c>
      <c r="B2084" s="19" t="n">
        <v>-0.0077894224364603</v>
      </c>
    </row>
    <row r="2085" customFormat="false" ht="15" hidden="false" customHeight="false" outlineLevel="0" collapsed="false">
      <c r="A2085" s="17" t="n">
        <v>45670</v>
      </c>
      <c r="B2085" s="19" t="n">
        <v>-0.000309245604205088</v>
      </c>
    </row>
    <row r="2086" customFormat="false" ht="15" hidden="false" customHeight="false" outlineLevel="0" collapsed="false">
      <c r="A2086" s="17" t="n">
        <v>45671</v>
      </c>
      <c r="B2086" s="19" t="n">
        <v>0.00250736487663383</v>
      </c>
    </row>
    <row r="2087" customFormat="false" ht="15" hidden="false" customHeight="false" outlineLevel="0" collapsed="false">
      <c r="A2087" s="17" t="n">
        <v>45672</v>
      </c>
      <c r="B2087" s="19" t="n">
        <v>0.0106917219557381</v>
      </c>
    </row>
    <row r="2088" customFormat="false" ht="15" hidden="false" customHeight="false" outlineLevel="0" collapsed="false">
      <c r="A2088" s="17" t="n">
        <v>45673</v>
      </c>
      <c r="B2088" s="19" t="n">
        <v>0.00152556739798992</v>
      </c>
    </row>
    <row r="2089" customFormat="false" ht="15" hidden="false" customHeight="false" outlineLevel="0" collapsed="false">
      <c r="A2089" s="17" t="n">
        <v>45674</v>
      </c>
      <c r="B2089" s="19" t="n">
        <v>0.00343718998533604</v>
      </c>
    </row>
    <row r="2090" customFormat="false" ht="15" hidden="false" customHeight="false" outlineLevel="0" collapsed="false">
      <c r="A2090" s="17" t="n">
        <v>45678</v>
      </c>
      <c r="B2090" s="19" t="n">
        <v>0.0077693873368101</v>
      </c>
    </row>
    <row r="2091" customFormat="false" ht="15" hidden="false" customHeight="false" outlineLevel="0" collapsed="false">
      <c r="A2091" s="17" t="n">
        <v>45679</v>
      </c>
      <c r="B2091" s="19" t="n">
        <v>0.000323880372482543</v>
      </c>
    </row>
    <row r="2092" customFormat="false" ht="15" hidden="false" customHeight="false" outlineLevel="0" collapsed="false">
      <c r="A2092" s="17" t="n">
        <v>45680</v>
      </c>
      <c r="B2092" s="19" t="n">
        <v>0.00227343948818448</v>
      </c>
    </row>
    <row r="2093" customFormat="false" ht="15" hidden="false" customHeight="false" outlineLevel="0" collapsed="false">
      <c r="A2093" s="17" t="n">
        <v>45681</v>
      </c>
      <c r="B2093" s="19" t="n">
        <v>0.00128940560842783</v>
      </c>
    </row>
    <row r="2094" customFormat="false" ht="15" hidden="false" customHeight="false" outlineLevel="0" collapsed="false">
      <c r="A2094" s="17" t="n">
        <v>45684</v>
      </c>
      <c r="B2094" s="19" t="n">
        <v>-0.00350772081080375</v>
      </c>
    </row>
    <row r="2095" customFormat="false" ht="15" hidden="false" customHeight="false" outlineLevel="0" collapsed="false">
      <c r="A2095" s="17" t="n">
        <v>45685</v>
      </c>
      <c r="B2095" s="19" t="n">
        <v>0.00291945765618551</v>
      </c>
    </row>
    <row r="2096" customFormat="false" ht="15" hidden="false" customHeight="false" outlineLevel="0" collapsed="false">
      <c r="A2096" s="17" t="n">
        <v>45686</v>
      </c>
      <c r="B2096" s="19" t="n">
        <v>-0.00234327610104423</v>
      </c>
    </row>
    <row r="2097" customFormat="false" ht="15" hidden="false" customHeight="false" outlineLevel="0" collapsed="false">
      <c r="A2097" s="17" t="n">
        <v>45687</v>
      </c>
      <c r="B2097" s="19" t="n">
        <v>0.00571090733885371</v>
      </c>
    </row>
    <row r="2098" customFormat="false" ht="15" hidden="false" customHeight="false" outlineLevel="0" collapsed="false">
      <c r="A2098" s="17" t="n">
        <v>45688</v>
      </c>
      <c r="B2098" s="19" t="n">
        <v>-0.00317933795227732</v>
      </c>
    </row>
    <row r="2099" customFormat="false" ht="15" hidden="false" customHeight="false" outlineLevel="0" collapsed="false">
      <c r="A2099" s="17" t="n">
        <v>45691</v>
      </c>
      <c r="B2099" s="19" t="n">
        <v>-0.0022539826326301</v>
      </c>
    </row>
    <row r="2100" customFormat="false" ht="15" hidden="false" customHeight="false" outlineLevel="0" collapsed="false">
      <c r="A2100" s="17" t="n">
        <v>45692</v>
      </c>
      <c r="B2100" s="19" t="n">
        <v>0.00520603426604449</v>
      </c>
    </row>
    <row r="2101" customFormat="false" ht="15" hidden="false" customHeight="false" outlineLevel="0" collapsed="false">
      <c r="A2101" s="17" t="n">
        <v>45693</v>
      </c>
      <c r="B2101" s="19" t="n">
        <v>0.00446793293901049</v>
      </c>
    </row>
    <row r="2102" customFormat="false" ht="15" hidden="false" customHeight="false" outlineLevel="0" collapsed="false">
      <c r="A2102" s="17" t="n">
        <v>45694</v>
      </c>
      <c r="B2102" s="19" t="n">
        <v>0.000554559224156925</v>
      </c>
    </row>
    <row r="2103" customFormat="false" ht="15" hidden="false" customHeight="false" outlineLevel="0" collapsed="false">
      <c r="A2103" s="17" t="n">
        <v>45695</v>
      </c>
      <c r="B2103" s="19" t="n">
        <v>-0.00399046235081113</v>
      </c>
    </row>
    <row r="2104" customFormat="false" ht="15" hidden="false" customHeight="false" outlineLevel="0" collapsed="false">
      <c r="A2104" s="17" t="n">
        <v>45698</v>
      </c>
      <c r="B2104" s="19" t="n">
        <v>0.00472891867953851</v>
      </c>
    </row>
    <row r="2105" customFormat="false" ht="15" hidden="false" customHeight="false" outlineLevel="0" collapsed="false">
      <c r="A2105" s="17" t="n">
        <v>45699</v>
      </c>
      <c r="B2105" s="19" t="n">
        <v>-0.000257300942836936</v>
      </c>
    </row>
    <row r="2106" customFormat="false" ht="15" hidden="false" customHeight="false" outlineLevel="0" collapsed="false">
      <c r="A2106" s="17" t="n">
        <v>45700</v>
      </c>
      <c r="B2106" s="19" t="n">
        <v>-0.00264997601421291</v>
      </c>
    </row>
    <row r="2107" customFormat="false" ht="15" hidden="false" customHeight="false" outlineLevel="0" collapsed="false">
      <c r="A2107" s="17" t="n">
        <v>45701</v>
      </c>
      <c r="B2107" s="19" t="n">
        <v>0.007639153344142</v>
      </c>
    </row>
    <row r="2108" customFormat="false" ht="15" hidden="false" customHeight="false" outlineLevel="0" collapsed="false">
      <c r="A2108" s="17" t="n">
        <v>45702</v>
      </c>
      <c r="B2108" s="19" t="n">
        <v>-9.05958709267463E-005</v>
      </c>
    </row>
    <row r="2109" customFormat="false" ht="15" hidden="false" customHeight="false" outlineLevel="0" collapsed="false">
      <c r="A2109" s="17" t="n">
        <v>45706</v>
      </c>
      <c r="B2109" s="19" t="n">
        <v>0.00163937502828881</v>
      </c>
    </row>
    <row r="2110" customFormat="false" ht="15" hidden="false" customHeight="false" outlineLevel="0" collapsed="false">
      <c r="A2110" s="17" t="n">
        <v>45707</v>
      </c>
      <c r="B2110" s="19" t="n">
        <v>5.64936791278559E-005</v>
      </c>
    </row>
    <row r="2111" customFormat="false" ht="15" hidden="false" customHeight="false" outlineLevel="0" collapsed="false">
      <c r="A2111" s="17" t="n">
        <v>45708</v>
      </c>
      <c r="B2111" s="19" t="n">
        <v>0.000605057207526016</v>
      </c>
    </row>
    <row r="2112" customFormat="false" ht="15" hidden="false" customHeight="false" outlineLevel="0" collapsed="false">
      <c r="A2112" s="17" t="n">
        <v>45709</v>
      </c>
      <c r="B2112" s="19" t="n">
        <v>-0.00531215217246939</v>
      </c>
    </row>
    <row r="2113" customFormat="false" ht="15" hidden="false" customHeight="false" outlineLevel="0" collapsed="false">
      <c r="A2113" s="17" t="n">
        <v>45712</v>
      </c>
      <c r="B2113" s="19" t="n">
        <v>-0.0013698478295282</v>
      </c>
    </row>
    <row r="2114" customFormat="false" ht="15" hidden="false" customHeight="false" outlineLevel="0" collapsed="false">
      <c r="A2114" s="17" t="n">
        <v>45713</v>
      </c>
      <c r="B2114" s="19" t="n">
        <v>0.000748614755775368</v>
      </c>
    </row>
    <row r="2115" customFormat="false" ht="15" hidden="false" customHeight="false" outlineLevel="0" collapsed="false">
      <c r="A2115" s="17" t="n">
        <v>45714</v>
      </c>
      <c r="B2115" s="19" t="n">
        <v>0.00110946586304705</v>
      </c>
    </row>
    <row r="2116" customFormat="false" ht="15" hidden="false" customHeight="false" outlineLevel="0" collapsed="false">
      <c r="A2116" s="17" t="n">
        <v>45715</v>
      </c>
      <c r="B2116" s="19" t="n">
        <v>-0.0079542132696262</v>
      </c>
    </row>
    <row r="2117" customFormat="false" ht="15" hidden="false" customHeight="false" outlineLevel="0" collapsed="false">
      <c r="A2117" s="17" t="n">
        <v>45716</v>
      </c>
      <c r="B2117" s="19" t="n">
        <v>0.00493942600746467</v>
      </c>
    </row>
    <row r="2118" customFormat="false" ht="15" hidden="false" customHeight="false" outlineLevel="0" collapsed="false">
      <c r="A2118" s="17" t="n">
        <v>45719</v>
      </c>
      <c r="B2118" s="19" t="n">
        <v>-0.00279675494160869</v>
      </c>
    </row>
    <row r="2119" customFormat="false" ht="15" hidden="false" customHeight="false" outlineLevel="0" collapsed="false">
      <c r="A2119" s="17" t="n">
        <v>45720</v>
      </c>
      <c r="B2119" s="19" t="n">
        <v>-0.0037241699478916</v>
      </c>
    </row>
    <row r="2120" customFormat="false" ht="15" hidden="false" customHeight="false" outlineLevel="0" collapsed="false">
      <c r="A2120" s="17" t="n">
        <v>45721</v>
      </c>
      <c r="B2120" s="19" t="n">
        <v>0.00576464839806912</v>
      </c>
    </row>
    <row r="2121" customFormat="false" ht="15" hidden="false" customHeight="false" outlineLevel="0" collapsed="false">
      <c r="A2121" s="17" t="n">
        <v>45722</v>
      </c>
      <c r="B2121" s="19" t="n">
        <v>-0.00799537327832744</v>
      </c>
    </row>
    <row r="2122" customFormat="false" ht="15" hidden="false" customHeight="false" outlineLevel="0" collapsed="false">
      <c r="A2122" s="17" t="n">
        <v>45723</v>
      </c>
      <c r="B2122" s="19" t="n">
        <v>0.00214218681258704</v>
      </c>
    </row>
    <row r="2123" customFormat="false" ht="15" hidden="false" customHeight="false" outlineLevel="0" collapsed="false">
      <c r="A2123" s="17" t="n">
        <v>45726</v>
      </c>
      <c r="B2123" s="19" t="n">
        <v>-0.0104043097337409</v>
      </c>
    </row>
    <row r="2124" customFormat="false" ht="15" hidden="false" customHeight="false" outlineLevel="0" collapsed="false">
      <c r="A2124" s="17" t="n">
        <v>45727</v>
      </c>
      <c r="B2124" s="19" t="n">
        <v>-0.00237967360354807</v>
      </c>
    </row>
    <row r="2125" customFormat="false" ht="15" hidden="false" customHeight="false" outlineLevel="0" collapsed="false">
      <c r="A2125" s="17" t="n">
        <v>45728</v>
      </c>
      <c r="B2125" s="19" t="n">
        <v>0.00219563578510651</v>
      </c>
    </row>
    <row r="2126" customFormat="false" ht="15" hidden="false" customHeight="false" outlineLevel="0" collapsed="false">
      <c r="A2126" s="17" t="n">
        <v>45729</v>
      </c>
      <c r="B2126" s="19" t="n">
        <v>-0.00262645904768366</v>
      </c>
    </row>
    <row r="2127" customFormat="false" ht="15" hidden="false" customHeight="false" outlineLevel="0" collapsed="false">
      <c r="A2127" s="17" t="n">
        <v>45730</v>
      </c>
      <c r="B2127" s="19" t="n">
        <v>0.00830460107899422</v>
      </c>
    </row>
    <row r="2128" customFormat="false" ht="15" hidden="false" customHeight="false" outlineLevel="0" collapsed="false">
      <c r="A2128" s="17" t="n">
        <v>45733</v>
      </c>
      <c r="B2128" s="19" t="n">
        <v>0.0060405389156768</v>
      </c>
    </row>
    <row r="2129" customFormat="false" ht="15" hidden="false" customHeight="false" outlineLevel="0" collapsed="false">
      <c r="A2129" s="17" t="n">
        <v>45734</v>
      </c>
      <c r="B2129" s="19" t="n">
        <v>-0.00228110806918103</v>
      </c>
    </row>
    <row r="2130" customFormat="false" ht="15" hidden="false" customHeight="false" outlineLevel="0" collapsed="false">
      <c r="A2130" s="17" t="n">
        <v>45735</v>
      </c>
      <c r="B2130" s="19" t="n">
        <v>0.00501709949301121</v>
      </c>
    </row>
    <row r="2131" customFormat="false" ht="15" hidden="false" customHeight="false" outlineLevel="0" collapsed="false">
      <c r="A2131" s="17" t="n">
        <v>45736</v>
      </c>
      <c r="B2131" s="19" t="n">
        <v>-0.0018329515339538</v>
      </c>
    </row>
    <row r="2132" customFormat="false" ht="15" hidden="false" customHeight="false" outlineLevel="0" collapsed="false">
      <c r="A2132" s="17" t="n">
        <v>45737</v>
      </c>
      <c r="B2132" s="19" t="n">
        <v>-0.00215946834111613</v>
      </c>
    </row>
    <row r="2133" customFormat="false" ht="15" hidden="false" customHeight="false" outlineLevel="0" collapsed="false">
      <c r="A2133" s="17" t="n">
        <v>45740</v>
      </c>
      <c r="B2133" s="19" t="n">
        <v>0.00383057443657742</v>
      </c>
    </row>
    <row r="2134" customFormat="false" ht="15" hidden="false" customHeight="false" outlineLevel="0" collapsed="false">
      <c r="A2134" s="17" t="n">
        <v>45741</v>
      </c>
      <c r="B2134" s="19" t="n">
        <v>0.00126616507909638</v>
      </c>
    </row>
    <row r="2135" customFormat="false" ht="15" hidden="false" customHeight="false" outlineLevel="0" collapsed="false">
      <c r="A2135" s="17" t="n">
        <v>45742</v>
      </c>
      <c r="B2135" s="19" t="n">
        <v>-0.00476716799068189</v>
      </c>
    </row>
    <row r="2136" customFormat="false" ht="15" hidden="false" customHeight="false" outlineLevel="0" collapsed="false">
      <c r="A2136" s="17" t="n">
        <v>45743</v>
      </c>
      <c r="B2136" s="19" t="n">
        <v>0.00113483542322967</v>
      </c>
    </row>
    <row r="2137" customFormat="false" ht="15" hidden="false" customHeight="false" outlineLevel="0" collapsed="false">
      <c r="A2137" s="17" t="n">
        <v>45744</v>
      </c>
      <c r="B2137" s="19" t="n">
        <v>-0.00474260380316283</v>
      </c>
    </row>
    <row r="2138" customFormat="false" ht="15" hidden="false" customHeight="false" outlineLevel="0" collapsed="false">
      <c r="A2138" s="17" t="n">
        <v>45747</v>
      </c>
      <c r="B2138" s="19" t="n">
        <v>0.0032254311109412</v>
      </c>
    </row>
    <row r="2139" customFormat="false" ht="15" hidden="false" customHeight="false" outlineLevel="0" collapsed="false">
      <c r="A2139" s="17" t="n">
        <v>45748</v>
      </c>
      <c r="B2139" s="19" t="n">
        <v>0.00203552577396771</v>
      </c>
    </row>
    <row r="2140" customFormat="false" ht="15" hidden="false" customHeight="false" outlineLevel="0" collapsed="false">
      <c r="A2140" s="17" t="n">
        <v>45749</v>
      </c>
      <c r="B2140" s="19" t="n">
        <v>0.00246916181715862</v>
      </c>
    </row>
    <row r="2141" customFormat="false" ht="15" hidden="false" customHeight="false" outlineLevel="0" collapsed="false">
      <c r="A2141" s="17" t="n">
        <v>45750</v>
      </c>
      <c r="B2141" s="19" t="n">
        <v>-0.0165109091029254</v>
      </c>
    </row>
    <row r="2142" customFormat="false" ht="15" hidden="false" customHeight="false" outlineLevel="0" collapsed="false">
      <c r="A2142" s="17" t="n">
        <v>45751</v>
      </c>
      <c r="B2142" s="19" t="n">
        <v>-0.0284820607901242</v>
      </c>
    </row>
    <row r="2143" customFormat="false" ht="15" hidden="false" customHeight="false" outlineLevel="0" collapsed="false">
      <c r="A2143" s="17" t="n">
        <v>45754</v>
      </c>
      <c r="B2143" s="19" t="n">
        <v>-0.0114004221905366</v>
      </c>
    </row>
    <row r="2144" customFormat="false" ht="15" hidden="false" customHeight="false" outlineLevel="0" collapsed="false">
      <c r="A2144" s="17" t="n">
        <v>45755</v>
      </c>
      <c r="B2144" s="19" t="n">
        <v>-0.00806683423269983</v>
      </c>
    </row>
    <row r="2145" customFormat="false" ht="15" hidden="false" customHeight="false" outlineLevel="0" collapsed="false">
      <c r="A2145" s="17" t="n">
        <v>45756</v>
      </c>
      <c r="B2145" s="19" t="n">
        <v>0.0416973528852747</v>
      </c>
    </row>
    <row r="2146" customFormat="false" ht="15" hidden="false" customHeight="false" outlineLevel="0" collapsed="false">
      <c r="A2146" s="17" t="n">
        <v>45757</v>
      </c>
      <c r="B2146" s="19" t="n">
        <v>-0.0160137546346344</v>
      </c>
    </row>
    <row r="2147" customFormat="false" ht="15" hidden="false" customHeight="false" outlineLevel="0" collapsed="false">
      <c r="A2147" s="17" t="n">
        <v>45758</v>
      </c>
      <c r="B2147" s="19" t="n">
        <v>0.0101021362423943</v>
      </c>
    </row>
    <row r="2148" customFormat="false" ht="15" hidden="false" customHeight="false" outlineLevel="0" collapsed="false">
      <c r="A2148" s="17" t="n">
        <v>45761</v>
      </c>
      <c r="B2148" s="19" t="n">
        <v>0.0066334027473649</v>
      </c>
    </row>
    <row r="2149" customFormat="false" ht="15" hidden="false" customHeight="false" outlineLevel="0" collapsed="false">
      <c r="A2149" s="17" t="n">
        <v>45762</v>
      </c>
      <c r="B2149" s="19" t="n">
        <v>0.00164288738924401</v>
      </c>
    </row>
    <row r="2150" customFormat="false" ht="15" hidden="false" customHeight="false" outlineLevel="0" collapsed="false">
      <c r="A2150" s="17" t="n">
        <v>45763</v>
      </c>
      <c r="B2150" s="19" t="n">
        <v>-0.00269281015360556</v>
      </c>
    </row>
    <row r="2151" customFormat="false" ht="15" hidden="false" customHeight="false" outlineLevel="0" collapsed="false">
      <c r="A2151" s="17" t="n">
        <v>45764</v>
      </c>
      <c r="B2151" s="19" t="n">
        <v>0.00186061563487816</v>
      </c>
    </row>
    <row r="2152" customFormat="false" ht="15" hidden="false" customHeight="false" outlineLevel="0" collapsed="false">
      <c r="A2152" s="17" t="n">
        <v>45768</v>
      </c>
      <c r="B2152" s="19" t="n">
        <v>-0.00650768572878469</v>
      </c>
    </row>
    <row r="2153" customFormat="false" ht="15" hidden="false" customHeight="false" outlineLevel="0" collapsed="false">
      <c r="A2153" s="17" t="n">
        <v>45769</v>
      </c>
      <c r="B2153" s="19" t="n">
        <v>0.00978798649665436</v>
      </c>
    </row>
    <row r="2154" customFormat="false" ht="15" hidden="false" customHeight="false" outlineLevel="0" collapsed="false">
      <c r="A2154" s="17" t="n">
        <v>45770</v>
      </c>
      <c r="B2154" s="19" t="n">
        <v>0.00423325290936094</v>
      </c>
    </row>
    <row r="2155" customFormat="false" ht="15" hidden="false" customHeight="false" outlineLevel="0" collapsed="false">
      <c r="A2155" s="17" t="n">
        <v>45771</v>
      </c>
      <c r="B2155" s="19" t="n">
        <v>0.0111168591546533</v>
      </c>
    </row>
    <row r="2156" customFormat="false" ht="15" hidden="false" customHeight="false" outlineLevel="0" collapsed="false">
      <c r="A2156" s="17" t="n">
        <v>45772</v>
      </c>
      <c r="B2156" s="19" t="n">
        <v>0.00159633607954657</v>
      </c>
    </row>
    <row r="2157" customFormat="false" ht="15" hidden="false" customHeight="false" outlineLevel="0" collapsed="false">
      <c r="A2157" s="17" t="n">
        <v>45775</v>
      </c>
      <c r="B2157" s="19" t="n">
        <v>0.00338290697360799</v>
      </c>
    </row>
    <row r="2158" customFormat="false" ht="15" hidden="false" customHeight="false" outlineLevel="0" collapsed="false">
      <c r="A2158" s="17" t="n">
        <v>45776</v>
      </c>
      <c r="B2158" s="19" t="n">
        <v>0.00262172976573605</v>
      </c>
    </row>
    <row r="2159" customFormat="false" ht="15" hidden="false" customHeight="false" outlineLevel="0" collapsed="false">
      <c r="A2159" s="17" t="n">
        <v>45777</v>
      </c>
      <c r="B2159" s="19" t="n">
        <v>-0.000599715257350586</v>
      </c>
    </row>
    <row r="2160" customFormat="false" ht="15" hidden="false" customHeight="false" outlineLevel="0" collapsed="false">
      <c r="A2160" s="17" t="n">
        <v>45778</v>
      </c>
      <c r="B2160" s="19" t="n">
        <v>-0.00168220859693313</v>
      </c>
    </row>
    <row r="2161" customFormat="false" ht="15" hidden="false" customHeight="false" outlineLevel="0" collapsed="false">
      <c r="A2161" s="17" t="n">
        <v>45779</v>
      </c>
      <c r="B2161" s="19" t="n">
        <v>0.00609481292675396</v>
      </c>
    </row>
    <row r="2162" customFormat="false" ht="15" hidden="false" customHeight="false" outlineLevel="0" collapsed="false">
      <c r="A2162" s="17" t="n">
        <v>45782</v>
      </c>
      <c r="B2162" s="19" t="n">
        <v>0.000659157286398093</v>
      </c>
    </row>
    <row r="2163" customFormat="false" ht="15" hidden="false" customHeight="false" outlineLevel="0" collapsed="false">
      <c r="A2163" s="17" t="n">
        <v>45783</v>
      </c>
      <c r="B2163" s="19" t="n">
        <v>0.000495434366606817</v>
      </c>
    </row>
    <row r="2164" customFormat="false" ht="15" hidden="false" customHeight="false" outlineLevel="0" collapsed="false">
      <c r="A2164" s="17" t="n">
        <v>45784</v>
      </c>
      <c r="B2164" s="19" t="n">
        <v>-0.000839940026916342</v>
      </c>
    </row>
    <row r="2165" customFormat="false" ht="15" hidden="false" customHeight="false" outlineLevel="0" collapsed="false">
      <c r="A2165" s="17" t="n">
        <v>45785</v>
      </c>
      <c r="B2165" s="19" t="n">
        <v>-0.00190573791779658</v>
      </c>
    </row>
    <row r="2166" customFormat="false" ht="15" hidden="false" customHeight="false" outlineLevel="0" collapsed="false">
      <c r="A2166" s="17" t="n">
        <v>45786</v>
      </c>
      <c r="B2166" s="19" t="n">
        <v>0.0019094794029173</v>
      </c>
    </row>
    <row r="2167" customFormat="false" ht="15" hidden="false" customHeight="false" outlineLevel="0" collapsed="false">
      <c r="A2167" s="17" t="n">
        <v>45789</v>
      </c>
      <c r="B2167" s="19" t="n">
        <v>0.00662350477063778</v>
      </c>
    </row>
    <row r="2168" customFormat="false" ht="15" hidden="false" customHeight="false" outlineLevel="0" collapsed="false">
      <c r="A2168" s="17" t="n">
        <v>45790</v>
      </c>
      <c r="B2168" s="19" t="n">
        <v>0.00259028121184413</v>
      </c>
    </row>
    <row r="2169" customFormat="false" ht="15" hidden="false" customHeight="false" outlineLevel="0" collapsed="false">
      <c r="A2169" s="17" t="n">
        <v>45791</v>
      </c>
      <c r="B2169" s="19" t="n">
        <v>-0.00294767474394986</v>
      </c>
    </row>
    <row r="2170" customFormat="false" ht="15" hidden="false" customHeight="false" outlineLevel="0" collapsed="false">
      <c r="A2170" s="17" t="n">
        <v>45792</v>
      </c>
      <c r="B2170" s="19" t="n">
        <v>0.0055768333481212</v>
      </c>
    </row>
    <row r="2171" customFormat="false" ht="15" hidden="false" customHeight="false" outlineLevel="0" collapsed="false">
      <c r="A2171" s="17" t="n">
        <v>45793</v>
      </c>
      <c r="B2171" s="19" t="n">
        <v>0.00219228556701157</v>
      </c>
    </row>
    <row r="2172" customFormat="false" ht="15" hidden="false" customHeight="false" outlineLevel="0" collapsed="false">
      <c r="A2172" s="17" t="n">
        <v>45796</v>
      </c>
      <c r="B2172" s="19" t="n">
        <v>0.00213475270217245</v>
      </c>
    </row>
    <row r="2173" customFormat="false" ht="15" hidden="false" customHeight="false" outlineLevel="0" collapsed="false">
      <c r="A2173" s="17" t="n">
        <v>45797</v>
      </c>
      <c r="B2173" s="19" t="n">
        <v>7.3876646243809E-005</v>
      </c>
    </row>
    <row r="2174" customFormat="false" ht="15" hidden="false" customHeight="false" outlineLevel="0" collapsed="false">
      <c r="A2174" s="17" t="n">
        <v>45798</v>
      </c>
      <c r="B2174" s="19" t="n">
        <v>-0.00819107189291823</v>
      </c>
    </row>
    <row r="2175" customFormat="false" ht="15" hidden="false" customHeight="false" outlineLevel="0" collapsed="false">
      <c r="A2175" s="17" t="n">
        <v>45799</v>
      </c>
      <c r="B2175" s="19" t="n">
        <v>-7.97924821401841E-005</v>
      </c>
    </row>
    <row r="2176" customFormat="false" ht="15" hidden="false" customHeight="false" outlineLevel="0" collapsed="false">
      <c r="A2176" s="17" t="n">
        <v>45800</v>
      </c>
      <c r="B2176" s="19" t="n">
        <v>0.00113951536523405</v>
      </c>
    </row>
    <row r="2177" customFormat="false" ht="15" hidden="false" customHeight="false" outlineLevel="0" collapsed="false">
      <c r="A2177" s="17" t="n">
        <v>45804</v>
      </c>
      <c r="B2177" s="19" t="n">
        <v>0.00690953737909394</v>
      </c>
    </row>
    <row r="2178" customFormat="false" ht="15" hidden="false" customHeight="false" outlineLevel="0" collapsed="false">
      <c r="A2178" s="17" t="n">
        <v>45805</v>
      </c>
      <c r="B2178" s="19" t="n">
        <v>-0.00372013234122937</v>
      </c>
    </row>
    <row r="2179" customFormat="false" ht="15" hidden="false" customHeight="false" outlineLevel="0" collapsed="false">
      <c r="A2179" s="17" t="n">
        <v>45806</v>
      </c>
      <c r="B2179" s="19" t="n">
        <v>0.00320705064567162</v>
      </c>
    </row>
    <row r="2180" customFormat="false" ht="15" hidden="false" customHeight="false" outlineLevel="0" collapsed="false">
      <c r="A2180" s="17" t="n">
        <v>45807</v>
      </c>
      <c r="B2180" s="19" t="n">
        <v>-0.000331336453251008</v>
      </c>
    </row>
    <row r="2181" customFormat="false" ht="15" hidden="false" customHeight="false" outlineLevel="0" collapsed="false">
      <c r="A2181" s="17" t="n">
        <v>45810</v>
      </c>
      <c r="B2181" s="19" t="n">
        <v>0.00372125555784608</v>
      </c>
    </row>
    <row r="2182" customFormat="false" ht="15" hidden="false" customHeight="false" outlineLevel="0" collapsed="false">
      <c r="A2182" s="17" t="n">
        <v>45811</v>
      </c>
      <c r="B2182" s="19" t="n">
        <v>5.18707122052486E-005</v>
      </c>
    </row>
    <row r="2183" customFormat="false" ht="15" hidden="false" customHeight="false" outlineLevel="0" collapsed="false">
      <c r="A2183" s="17" t="n">
        <v>45812</v>
      </c>
      <c r="B2183" s="19" t="n">
        <v>0.00372147467001116</v>
      </c>
    </row>
    <row r="2184" customFormat="false" ht="15" hidden="false" customHeight="false" outlineLevel="0" collapsed="false">
      <c r="A2184" s="17" t="n">
        <v>45813</v>
      </c>
      <c r="B2184" s="19" t="n">
        <v>-0.0022349411295588</v>
      </c>
    </row>
    <row r="2185" customFormat="false" ht="15" hidden="false" customHeight="false" outlineLevel="0" collapsed="false">
      <c r="A2185" s="17" t="n">
        <v>45814</v>
      </c>
      <c r="B2185" s="19" t="n">
        <v>0.00104979285926321</v>
      </c>
    </row>
    <row r="2186" customFormat="false" ht="15" hidden="false" customHeight="false" outlineLevel="0" collapsed="false">
      <c r="A2186" s="17" t="n">
        <v>45817</v>
      </c>
      <c r="B2186" s="19" t="n">
        <v>0.00148620537065947</v>
      </c>
    </row>
    <row r="2187" customFormat="false" ht="15" hidden="false" customHeight="false" outlineLevel="0" collapsed="false">
      <c r="A2187" s="17" t="n">
        <v>45818</v>
      </c>
      <c r="B2187" s="19" t="n">
        <v>0.00298466683430299</v>
      </c>
    </row>
    <row r="2188" customFormat="false" ht="15" hidden="false" customHeight="false" outlineLevel="0" collapsed="false">
      <c r="A2188" s="17" t="n">
        <v>45819</v>
      </c>
      <c r="B2188" s="19" t="n">
        <v>0.000388753036422163</v>
      </c>
    </row>
    <row r="2189" customFormat="false" ht="15" hidden="false" customHeight="false" outlineLevel="0" collapsed="false">
      <c r="A2189" s="17" t="n">
        <v>45820</v>
      </c>
      <c r="B2189" s="19" t="n">
        <v>0.00330537480094284</v>
      </c>
    </row>
    <row r="2190" customFormat="false" ht="15" hidden="false" customHeight="false" outlineLevel="0" collapsed="false">
      <c r="A2190" s="17" t="n">
        <v>45821</v>
      </c>
      <c r="B2190" s="19" t="n">
        <v>-0.00665248643657845</v>
      </c>
    </row>
    <row r="2191" customFormat="false" ht="15" hidden="false" customHeight="false" outlineLevel="0" collapsed="false">
      <c r="A2191" s="17" t="n">
        <v>45824</v>
      </c>
      <c r="B2191" s="19" t="n">
        <v>0.00284743847553082</v>
      </c>
    </row>
    <row r="2192" customFormat="false" ht="15" hidden="false" customHeight="false" outlineLevel="0" collapsed="false">
      <c r="A2192" s="17" t="n">
        <v>45825</v>
      </c>
      <c r="B2192" s="19" t="n">
        <v>-0.00362433136447005</v>
      </c>
    </row>
    <row r="2193" customFormat="false" ht="15" hidden="false" customHeight="false" outlineLevel="0" collapsed="false">
      <c r="A2193" s="17" t="n">
        <v>45826</v>
      </c>
      <c r="B2193" s="19" t="n">
        <v>-0.000484020703682253</v>
      </c>
    </row>
    <row r="2194" customFormat="false" ht="15" hidden="false" customHeight="false" outlineLevel="0" collapsed="false">
      <c r="A2194" s="17" t="n">
        <v>45828</v>
      </c>
      <c r="B2194" s="19" t="n">
        <v>-0.00108984429703263</v>
      </c>
    </row>
    <row r="2195" customFormat="false" ht="15" hidden="false" customHeight="false" outlineLevel="0" collapsed="false">
      <c r="A2195" s="17" t="n">
        <v>45831</v>
      </c>
      <c r="B2195" s="19" t="n">
        <v>0.00595616581939207</v>
      </c>
    </row>
    <row r="2196" customFormat="false" ht="15" hidden="false" customHeight="false" outlineLevel="0" collapsed="false">
      <c r="A2196" s="17" t="n">
        <v>45832</v>
      </c>
      <c r="B2196" s="19" t="n">
        <v>0.00657033271694241</v>
      </c>
    </row>
    <row r="2197" customFormat="false" ht="15" hidden="false" customHeight="false" outlineLevel="0" collapsed="false">
      <c r="A2197" s="17" t="n">
        <v>45833</v>
      </c>
      <c r="B2197" s="19" t="n">
        <v>-0.0011608613660552</v>
      </c>
    </row>
    <row r="2198" customFormat="false" ht="15" hidden="false" customHeight="false" outlineLevel="0" collapsed="false">
      <c r="A2198" s="17" t="n">
        <v>45834</v>
      </c>
      <c r="B2198" s="19" t="n">
        <v>0.00524100387244975</v>
      </c>
    </row>
    <row r="2199" customFormat="false" ht="15" hidden="false" customHeight="false" outlineLevel="0" collapsed="false">
      <c r="A2199" s="17" t="n">
        <v>45835</v>
      </c>
      <c r="B2199" s="19" t="n">
        <v>2.13719904600396E-005</v>
      </c>
    </row>
    <row r="2200" customFormat="false" ht="15" hidden="false" customHeight="false" outlineLevel="0" collapsed="false">
      <c r="A2200" s="17" t="n">
        <v>45838</v>
      </c>
      <c r="B2200" s="19" t="n">
        <v>0.00444606932984804</v>
      </c>
    </row>
    <row r="2201" customFormat="false" ht="15" hidden="false" customHeight="false" outlineLevel="0" collapsed="false">
      <c r="A2201" s="17" t="n">
        <v>45839</v>
      </c>
      <c r="B2201" s="19" t="n">
        <v>0.00051134583542134</v>
      </c>
    </row>
    <row r="2202" customFormat="false" ht="15" hidden="false" customHeight="false" outlineLevel="0" collapsed="false">
      <c r="A2202" s="17" t="n">
        <v>45840</v>
      </c>
      <c r="B2202" s="19" t="n">
        <v>0.00208129963657755</v>
      </c>
    </row>
    <row r="2203" customFormat="false" ht="15" hidden="false" customHeight="false" outlineLevel="0" collapsed="false">
      <c r="A2203" s="17" t="n">
        <v>45841</v>
      </c>
      <c r="B2203" s="19" t="n">
        <v>0.00194777071223107</v>
      </c>
    </row>
    <row r="2204" customFormat="false" ht="15" hidden="false" customHeight="false" outlineLevel="0" collapsed="false">
      <c r="A2204" s="17" t="n">
        <v>45845</v>
      </c>
      <c r="B2204" s="19" t="n">
        <v>-0.00497158601835612</v>
      </c>
    </row>
    <row r="2205" customFormat="false" ht="15" hidden="false" customHeight="false" outlineLevel="0" collapsed="false">
      <c r="A2205" s="17" t="n">
        <v>45846</v>
      </c>
      <c r="B2205" s="19" t="n">
        <v>-0.000153870413233004</v>
      </c>
    </row>
    <row r="2206" customFormat="false" ht="15" hidden="false" customHeight="false" outlineLevel="0" collapsed="false">
      <c r="A2206" s="17" t="n">
        <v>45847</v>
      </c>
      <c r="B2206" s="19" t="n">
        <v>0.00428699037357117</v>
      </c>
    </row>
    <row r="2207" customFormat="false" ht="15" hidden="false" customHeight="false" outlineLevel="0" collapsed="false">
      <c r="A2207" s="17" t="n">
        <v>45848</v>
      </c>
      <c r="B2207" s="19" t="n">
        <v>0.00124753171279313</v>
      </c>
    </row>
    <row r="2208" customFormat="false" ht="15" hidden="false" customHeight="false" outlineLevel="0" collapsed="false">
      <c r="A2208" s="17" t="n">
        <v>45849</v>
      </c>
      <c r="B2208" s="19" t="n">
        <v>-0.00243888758504895</v>
      </c>
    </row>
    <row r="2209" customFormat="false" ht="15" hidden="false" customHeight="false" outlineLevel="0" collapsed="false">
      <c r="A2209" s="17" t="n">
        <v>45852</v>
      </c>
      <c r="B2209" s="19" t="n">
        <v>0.000779659989670112</v>
      </c>
    </row>
    <row r="2210" customFormat="false" ht="15" hidden="false" customHeight="false" outlineLevel="0" collapsed="false">
      <c r="A2210" s="17" t="n">
        <v>45853</v>
      </c>
      <c r="B2210" s="19" t="n">
        <v>-0.00420759419535777</v>
      </c>
    </row>
    <row r="2211" customFormat="false" ht="15" hidden="false" customHeight="false" outlineLevel="0" collapsed="false">
      <c r="A2211" s="17" t="n">
        <v>45854</v>
      </c>
      <c r="B2211" s="19" t="n">
        <v>0.00378304123016804</v>
      </c>
    </row>
    <row r="2212" customFormat="false" ht="15" hidden="false" customHeight="false" outlineLevel="0" collapsed="false">
      <c r="A2212" s="17" t="n">
        <v>45855</v>
      </c>
      <c r="B2212" s="19" t="n">
        <v>0.00251263148341852</v>
      </c>
    </row>
    <row r="2213" customFormat="false" ht="15" hidden="false" customHeight="false" outlineLevel="0" collapsed="false">
      <c r="A2213" s="17" t="n">
        <v>45856</v>
      </c>
      <c r="B2213" s="19" t="n">
        <v>0.00024172654012844</v>
      </c>
    </row>
    <row r="2214" customFormat="false" ht="15" hidden="false" customHeight="false" outlineLevel="0" collapsed="false">
      <c r="A2214" s="17" t="n">
        <v>45859</v>
      </c>
      <c r="B2214" s="19" t="n">
        <v>0.00318980621733234</v>
      </c>
    </row>
    <row r="2215" customFormat="false" ht="15" hidden="false" customHeight="false" outlineLevel="0" collapsed="false">
      <c r="A2215" s="17" t="n">
        <v>45860</v>
      </c>
      <c r="B2215" s="19" t="n">
        <v>0.00213079997874166</v>
      </c>
    </row>
    <row r="2216" customFormat="false" ht="15" hidden="false" customHeight="false" outlineLevel="0" collapsed="false">
      <c r="A2216" s="17" t="n">
        <v>45861</v>
      </c>
      <c r="B2216" s="19" t="n">
        <v>0.00386009024832257</v>
      </c>
    </row>
    <row r="2217" customFormat="false" ht="15" hidden="false" customHeight="false" outlineLevel="0" collapsed="false">
      <c r="A2217" s="17" t="n">
        <v>45862</v>
      </c>
      <c r="B2217" s="19" t="n">
        <v>-0.00194840806766117</v>
      </c>
    </row>
    <row r="2218" customFormat="false" ht="15" hidden="false" customHeight="false" outlineLevel="0" collapsed="false">
      <c r="A2218" s="17" t="n">
        <v>45863</v>
      </c>
      <c r="B2218" s="19" t="n">
        <v>0.00126091425087171</v>
      </c>
    </row>
    <row r="2219" customFormat="false" ht="15" hidden="false" customHeight="false" outlineLevel="0" collapsed="false">
      <c r="A2219" s="17" t="n">
        <v>45866</v>
      </c>
      <c r="B2219" s="19" t="n">
        <v>-0.0036790048817591</v>
      </c>
    </row>
    <row r="2220" customFormat="false" ht="15" hidden="false" customHeight="false" outlineLevel="0" collapsed="false">
      <c r="A2220" s="17" t="n">
        <v>45867</v>
      </c>
      <c r="B2220" s="19" t="n">
        <v>0.0013147657372421</v>
      </c>
    </row>
    <row r="2221" customFormat="false" ht="15" hidden="false" customHeight="false" outlineLevel="0" collapsed="false">
      <c r="A2221" s="17" t="n">
        <v>45868</v>
      </c>
      <c r="B2221" s="19" t="n">
        <v>-0.00387105971257395</v>
      </c>
    </row>
    <row r="2222" customFormat="false" ht="15" hidden="false" customHeight="false" outlineLevel="0" collapsed="false">
      <c r="A2222" s="17" t="n">
        <v>45869</v>
      </c>
      <c r="B2222" s="19" t="n">
        <v>-0.00269791672212505</v>
      </c>
    </row>
    <row r="2223" customFormat="false" ht="15" hidden="false" customHeight="false" outlineLevel="0" collapsed="false">
      <c r="A2223" s="17" t="n">
        <v>45870</v>
      </c>
      <c r="B2223" s="19" t="n">
        <v>-0.00121127560628231</v>
      </c>
    </row>
    <row r="2224" customFormat="false" ht="15" hidden="false" customHeight="false" outlineLevel="0" collapsed="false">
      <c r="A2224" s="17" t="n">
        <v>45873</v>
      </c>
      <c r="B2224" s="19" t="n">
        <v>0.00773794545587481</v>
      </c>
    </row>
    <row r="2225" customFormat="false" ht="15" hidden="false" customHeight="false" outlineLevel="0" collapsed="false">
      <c r="A2225" s="17" t="n">
        <v>45874</v>
      </c>
      <c r="B2225" s="19" t="n">
        <v>-0.00066276445616964</v>
      </c>
    </row>
    <row r="2226" customFormat="false" ht="15" hidden="false" customHeight="false" outlineLevel="0" collapsed="false">
      <c r="A2226" s="17" t="n">
        <v>45875</v>
      </c>
      <c r="B2226" s="19" t="n">
        <v>0.00254193431730454</v>
      </c>
    </row>
    <row r="2227" customFormat="false" ht="15" hidden="false" customHeight="false" outlineLevel="0" collapsed="false">
      <c r="A2227" s="17" t="n">
        <v>45876</v>
      </c>
      <c r="B2227" s="19" t="n">
        <v>0.00140657216604612</v>
      </c>
    </row>
    <row r="2228" customFormat="false" ht="15" hidden="false" customHeight="false" outlineLevel="0" collapsed="false">
      <c r="A2228" s="17" t="n">
        <v>45877</v>
      </c>
      <c r="B2228" s="19" t="n">
        <v>0.00132335068547684</v>
      </c>
    </row>
    <row r="2229" customFormat="false" ht="15" hidden="false" customHeight="false" outlineLevel="0" collapsed="false">
      <c r="A2229" s="17" t="n">
        <v>45880</v>
      </c>
      <c r="B2229" s="19" t="n">
        <v>-0.00235934797726267</v>
      </c>
    </row>
    <row r="2230" customFormat="false" ht="15" hidden="false" customHeight="false" outlineLevel="0" collapsed="false">
      <c r="A2230" s="17" t="n">
        <v>45881</v>
      </c>
      <c r="B2230" s="19" t="n">
        <v>0.0050507037891645</v>
      </c>
    </row>
    <row r="2231" customFormat="false" ht="15" hidden="false" customHeight="false" outlineLevel="0" collapsed="false">
      <c r="A2231" s="17" t="n">
        <v>45882</v>
      </c>
      <c r="B2231" s="19" t="n">
        <v>0.00388005524975288</v>
      </c>
    </row>
    <row r="2232" customFormat="false" ht="15" hidden="false" customHeight="false" outlineLevel="0" collapsed="false">
      <c r="A2232" s="17" t="n">
        <v>45883</v>
      </c>
      <c r="B2232" s="19" t="n">
        <v>-0.0025635771579009</v>
      </c>
    </row>
    <row r="2233" customFormat="false" ht="15" hidden="false" customHeight="false" outlineLevel="0" collapsed="false">
      <c r="A2233" s="17" t="n">
        <v>45884</v>
      </c>
      <c r="B2233" s="19" t="n">
        <v>-0.00047102698866508</v>
      </c>
    </row>
    <row r="2234" customFormat="false" ht="15" hidden="false" customHeight="false" outlineLevel="0" collapsed="false">
      <c r="A2234" s="17" t="n">
        <v>45887</v>
      </c>
      <c r="B2234" s="19" t="n">
        <v>6.52533176648262E-006</v>
      </c>
    </row>
    <row r="2235" customFormat="false" ht="15" hidden="false" customHeight="false" outlineLevel="0" collapsed="false">
      <c r="A2235" s="17" t="n">
        <v>45888</v>
      </c>
      <c r="B2235" s="19" t="n">
        <v>-0.0016769671767346</v>
      </c>
    </row>
    <row r="2236" customFormat="false" ht="15" hidden="false" customHeight="false" outlineLevel="0" collapsed="false">
      <c r="A2236" s="17" t="n">
        <v>45889</v>
      </c>
      <c r="B2236" s="19" t="n">
        <v>0.0006779561911745</v>
      </c>
    </row>
    <row r="2237" customFormat="false" ht="15" hidden="false" customHeight="false" outlineLevel="0" collapsed="false">
      <c r="A2237" s="17" t="n">
        <v>45890</v>
      </c>
      <c r="B2237" s="19" t="n">
        <v>-0.00246309751182194</v>
      </c>
    </row>
    <row r="2238" customFormat="false" ht="15" hidden="false" customHeight="false" outlineLevel="0" collapsed="false">
      <c r="A2238" s="17" t="n">
        <v>45891</v>
      </c>
      <c r="B2238" s="19" t="n">
        <v>0.0109069066950962</v>
      </c>
    </row>
    <row r="2239" customFormat="false" ht="15" hidden="false" customHeight="false" outlineLevel="0" collapsed="false">
      <c r="A2239" s="17" t="n">
        <v>45894</v>
      </c>
      <c r="B2239" s="19" t="n">
        <v>-0.00380160244644223</v>
      </c>
    </row>
    <row r="2240" customFormat="false" ht="15" hidden="false" customHeight="false" outlineLevel="0" collapsed="false">
      <c r="A2240" s="17" t="n">
        <v>45895</v>
      </c>
      <c r="B2240" s="19" t="n">
        <v>0.00196862831465072</v>
      </c>
    </row>
    <row r="2241" customFormat="false" ht="15" hidden="false" customHeight="false" outlineLevel="0" collapsed="false">
      <c r="A2241" s="17" t="n">
        <v>45896</v>
      </c>
      <c r="B2241" s="19" t="n">
        <v>0.000680742157490366</v>
      </c>
    </row>
    <row r="2242" customFormat="false" ht="15" hidden="false" customHeight="false" outlineLevel="0" collapsed="false">
      <c r="A2242" s="17" t="n">
        <v>45897</v>
      </c>
      <c r="B2242" s="19" t="n">
        <v>0.00213211465352581</v>
      </c>
    </row>
    <row r="2243" customFormat="false" ht="15" hidden="false" customHeight="false" outlineLevel="0" collapsed="false">
      <c r="A2243" s="17" t="n">
        <v>45898</v>
      </c>
      <c r="B2243" s="19" t="n">
        <v>-0.00205949972846087</v>
      </c>
    </row>
    <row r="2244" customFormat="false" ht="15" hidden="false" customHeight="false" outlineLevel="0" collapsed="false">
      <c r="A2244" s="17" t="n">
        <v>45902</v>
      </c>
      <c r="B2244" s="19" t="n">
        <v>-0.00281735529619731</v>
      </c>
    </row>
    <row r="2245" customFormat="false" ht="15" hidden="false" customHeight="false" outlineLevel="0" collapsed="false">
      <c r="A2245" s="17" t="n">
        <v>45903</v>
      </c>
      <c r="B2245" s="19" t="n">
        <v>0.00306150558527762</v>
      </c>
    </row>
    <row r="2246" customFormat="false" ht="15" hidden="false" customHeight="false" outlineLevel="0" collapsed="false">
      <c r="A2246" s="17" t="n">
        <v>45904</v>
      </c>
      <c r="B2246" s="19" t="n">
        <v>0.00413208488095718</v>
      </c>
    </row>
    <row r="2247" customFormat="false" ht="15" hidden="false" customHeight="false" outlineLevel="0" collapsed="false">
      <c r="A2247" s="17" t="n">
        <v>45905</v>
      </c>
      <c r="B2247" s="19" t="n">
        <v>0.00327749440238701</v>
      </c>
    </row>
    <row r="2248" customFormat="false" ht="15" hidden="false" customHeight="false" outlineLevel="0" collapsed="false">
      <c r="A2248" s="17" t="n">
        <v>45908</v>
      </c>
      <c r="B2248" s="19" t="n">
        <v>0.0036068753641203</v>
      </c>
    </row>
    <row r="2249" customFormat="false" ht="15" hidden="false" customHeight="false" outlineLevel="0" collapsed="false">
      <c r="A2249" s="17" t="n">
        <v>45909</v>
      </c>
      <c r="B2249" s="19" t="n">
        <v>-0.000581425343335051</v>
      </c>
    </row>
    <row r="2250" customFormat="false" ht="15" hidden="false" customHeight="false" outlineLevel="0" collapsed="false">
      <c r="A2250" s="17" t="n">
        <v>45910</v>
      </c>
      <c r="B2250" s="19" t="n">
        <v>0.00166710145567106</v>
      </c>
    </row>
    <row r="2251" customFormat="false" ht="15" hidden="false" customHeight="false" outlineLevel="0" collapsed="false">
      <c r="A2251" s="17" t="n">
        <v>45911</v>
      </c>
      <c r="B2251" s="19" t="n">
        <v>0.00567627725230446</v>
      </c>
    </row>
    <row r="2252" customFormat="false" ht="15" hidden="false" customHeight="false" outlineLevel="0" collapsed="false">
      <c r="A2252" s="17" t="n">
        <v>45912</v>
      </c>
      <c r="B2252" s="19" t="n">
        <v>-0.00120988614744511</v>
      </c>
    </row>
    <row r="2253" customFormat="false" ht="15" hidden="false" customHeight="false" outlineLevel="0" collapsed="false">
      <c r="A2253" s="17" t="n">
        <v>45915</v>
      </c>
      <c r="B2253" s="19" t="n">
        <v>0.00380511308314224</v>
      </c>
    </row>
    <row r="2254" customFormat="false" ht="15" hidden="false" customHeight="false" outlineLevel="0" collapsed="false">
      <c r="A2254" s="17" t="n">
        <v>45916</v>
      </c>
      <c r="B2254" s="19" t="n">
        <v>0.000298302540882034</v>
      </c>
    </row>
    <row r="2255" customFormat="false" ht="15" hidden="false" customHeight="false" outlineLevel="0" collapsed="false">
      <c r="A2255" s="17" t="n">
        <v>45917</v>
      </c>
      <c r="B2255" s="19" t="n">
        <v>-0.0012386739867023</v>
      </c>
    </row>
    <row r="2256" customFormat="false" ht="15" hidden="false" customHeight="false" outlineLevel="0" collapsed="false">
      <c r="A2256" s="17" t="n">
        <v>45918</v>
      </c>
      <c r="B2256" s="19" t="n">
        <v>0.00118531294854263</v>
      </c>
    </row>
    <row r="2257" customFormat="false" ht="15" hidden="false" customHeight="false" outlineLevel="0" collapsed="false">
      <c r="A2257" s="17" t="n">
        <v>45919</v>
      </c>
      <c r="B2257" s="19" t="n">
        <v>0.00117775691899347</v>
      </c>
    </row>
    <row r="2258" customFormat="false" ht="15" hidden="false" customHeight="false" outlineLevel="0" collapsed="false">
      <c r="A2258" s="17" t="n">
        <v>45922</v>
      </c>
      <c r="B2258" s="19" t="n">
        <v>0.00286489120178679</v>
      </c>
    </row>
    <row r="2259" customFormat="false" ht="15" hidden="false" customHeight="false" outlineLevel="0" collapsed="false">
      <c r="A2259" s="17" t="n">
        <v>45923</v>
      </c>
      <c r="B2259" s="19" t="n">
        <v>0.000890959820746939</v>
      </c>
    </row>
    <row r="2260" customFormat="false" ht="15" hidden="false" customHeight="false" outlineLevel="0" collapsed="false">
      <c r="A2260" s="17" t="n">
        <v>45924</v>
      </c>
      <c r="B2260" s="19" t="n">
        <v>-0.00408900554756653</v>
      </c>
    </row>
    <row r="2261" customFormat="false" ht="15" hidden="false" customHeight="false" outlineLevel="0" collapsed="false">
      <c r="A2261" s="17" t="n">
        <v>45925</v>
      </c>
      <c r="B2261" s="19" t="n">
        <v>-0.00303652591976233</v>
      </c>
    </row>
    <row r="2262" customFormat="false" ht="15" hidden="false" customHeight="false" outlineLevel="0" collapsed="false">
      <c r="A2262" s="17" t="n">
        <v>45926</v>
      </c>
      <c r="B2262" s="19" t="n">
        <v>0.00322715893313297</v>
      </c>
    </row>
    <row r="2263" customFormat="false" ht="15" hidden="false" customHeight="false" outlineLevel="0" collapsed="false">
      <c r="A2263" s="17" t="n">
        <v>45929</v>
      </c>
      <c r="B2263" s="19" t="n">
        <v>0.00356656602478855</v>
      </c>
    </row>
    <row r="2264" customFormat="false" ht="15" hidden="false" customHeight="false" outlineLevel="0" collapsed="false">
      <c r="A2264" s="17" t="n">
        <v>45930</v>
      </c>
      <c r="B2264" s="19" t="n">
        <v>0.00257414253415833</v>
      </c>
    </row>
    <row r="2265" customFormat="false" ht="15" hidden="false" customHeight="false" outlineLevel="0" collapsed="false">
      <c r="A2265" s="17" t="n">
        <v>45931</v>
      </c>
      <c r="B2265" s="19" t="n">
        <v>0.00289965228359823</v>
      </c>
    </row>
    <row r="2266" customFormat="false" ht="15" hidden="false" customHeight="false" outlineLevel="0" collapsed="false">
      <c r="A2266" s="17" t="n">
        <v>45932</v>
      </c>
      <c r="B2266" s="19" t="n">
        <v>0.000852034707777394</v>
      </c>
    </row>
    <row r="2267" customFormat="false" ht="15" hidden="false" customHeight="false" outlineLevel="0" collapsed="false">
      <c r="A2267" s="17" t="n">
        <v>45933</v>
      </c>
      <c r="B2267" s="19" t="n">
        <v>0.00162591340807294</v>
      </c>
    </row>
    <row r="2268" customFormat="false" ht="15" hidden="false" customHeight="false" outlineLevel="0" collapsed="false">
      <c r="A2268" s="17" t="n">
        <v>45936</v>
      </c>
      <c r="B2268" s="19" t="n">
        <v>0.00207366521286723</v>
      </c>
    </row>
    <row r="2269" customFormat="false" ht="15" hidden="false" customHeight="false" outlineLevel="0" collapsed="false">
      <c r="A2269" s="17" t="n">
        <v>45937</v>
      </c>
      <c r="B2269" s="19" t="n">
        <v>-0.00156399591557799</v>
      </c>
    </row>
    <row r="2270" customFormat="false" ht="15" hidden="false" customHeight="false" outlineLevel="0" collapsed="false">
      <c r="A2270" s="17" t="n">
        <v>45938</v>
      </c>
      <c r="B2270" s="19" t="n">
        <v>0.00390452930628604</v>
      </c>
    </row>
    <row r="2271" customFormat="false" ht="15" hidden="false" customHeight="false" outlineLevel="0" collapsed="false">
      <c r="A2271" s="17" t="n">
        <v>45939</v>
      </c>
      <c r="B2271" s="19" t="n">
        <v>-0.00422460918827583</v>
      </c>
    </row>
    <row r="2272" customFormat="false" ht="15" hidden="false" customHeight="false" outlineLevel="0" collapsed="false">
      <c r="A2272" s="17" t="n">
        <v>45940</v>
      </c>
      <c r="B2272" s="19" t="n">
        <v>-0.0102822353781017</v>
      </c>
    </row>
    <row r="2273" customFormat="false" ht="15" hidden="false" customHeight="false" outlineLevel="0" collapsed="false">
      <c r="A2273" s="17" t="n">
        <v>45943</v>
      </c>
      <c r="B2273" s="19" t="n">
        <v>0.0102856955349435</v>
      </c>
    </row>
    <row r="2274" customFormat="false" ht="15" hidden="false" customHeight="false" outlineLevel="0" collapsed="false">
      <c r="A2274" s="17" t="n">
        <v>45944</v>
      </c>
      <c r="B2274" s="19" t="n">
        <v>0.00145968461688284</v>
      </c>
    </row>
    <row r="2275" customFormat="false" ht="15" hidden="false" customHeight="false" outlineLevel="0" collapsed="false">
      <c r="A2275" s="17" t="n">
        <v>45945</v>
      </c>
      <c r="B2275" s="19" t="n">
        <v>0.00432918452549802</v>
      </c>
    </row>
    <row r="2276" customFormat="false" ht="15" hidden="false" customHeight="false" outlineLevel="0" collapsed="false">
      <c r="A2276" s="17" t="n">
        <v>45946</v>
      </c>
      <c r="B2276" s="19" t="n">
        <v>0.00143787184646205</v>
      </c>
    </row>
    <row r="2277" customFormat="false" ht="15" hidden="false" customHeight="false" outlineLevel="0" collapsed="false">
      <c r="A2277" s="17" t="n">
        <v>45947</v>
      </c>
      <c r="B2277" s="19" t="n">
        <v>-0.000504898385417119</v>
      </c>
    </row>
    <row r="2278" customFormat="false" ht="15" hidden="false" customHeight="false" outlineLevel="0" collapsed="false">
      <c r="A2278" s="17" t="n">
        <v>45950</v>
      </c>
      <c r="B2278" s="19" t="n">
        <v>0.00825673823989015</v>
      </c>
    </row>
    <row r="2279" customFormat="false" ht="15" hidden="false" customHeight="false" outlineLevel="0" collapsed="false">
      <c r="A2279" s="17" t="n">
        <v>45951</v>
      </c>
      <c r="B2279" s="19" t="n">
        <v>-0.00664955975686044</v>
      </c>
    </row>
    <row r="2280" customFormat="false" ht="15" hidden="false" customHeight="false" outlineLevel="0" collapsed="false">
      <c r="A2280" s="17" t="n">
        <v>45952</v>
      </c>
      <c r="B2280" s="19" t="n">
        <v>-0.00128914546220704</v>
      </c>
    </row>
    <row r="2281" customFormat="false" ht="15" hidden="false" customHeight="false" outlineLevel="0" collapsed="false">
      <c r="A2281" s="17" t="n">
        <v>45953</v>
      </c>
      <c r="B2281" s="19" t="n">
        <v>0.00262737201317442</v>
      </c>
    </row>
    <row r="2282" customFormat="false" ht="15" hidden="false" customHeight="false" outlineLevel="0" collapsed="false">
      <c r="A2282" s="17" t="n">
        <v>45954</v>
      </c>
      <c r="B2282" s="19" t="n">
        <v>0.00297816738159895</v>
      </c>
    </row>
    <row r="2283" customFormat="false" ht="15" hidden="false" customHeight="false" outlineLevel="0" collapsed="false">
      <c r="A2283" s="17" t="n">
        <v>45957</v>
      </c>
      <c r="B2283" s="19" t="n">
        <v>0.00209489349613157</v>
      </c>
    </row>
    <row r="2284" customFormat="false" ht="15" hidden="false" customHeight="false" outlineLevel="0" collapsed="false">
      <c r="A2284" s="17" t="n">
        <v>45958</v>
      </c>
      <c r="B2284" s="19" t="n">
        <v>-0.000278483539914776</v>
      </c>
    </row>
    <row r="2285" customFormat="false" ht="15" hidden="false" customHeight="false" outlineLevel="0" collapsed="false">
      <c r="A2285" s="17" t="n">
        <v>45959</v>
      </c>
      <c r="B2285" s="19" t="n">
        <v>-0.00327561559625944</v>
      </c>
    </row>
    <row r="2286" customFormat="false" ht="15" hidden="false" customHeight="false" outlineLevel="0" collapsed="false">
      <c r="A2286" s="17" t="n">
        <v>45960</v>
      </c>
      <c r="B2286" s="19" t="n">
        <v>-0.00328264289064695</v>
      </c>
    </row>
    <row r="2287" customFormat="false" ht="15" hidden="false" customHeight="false" outlineLevel="0" collapsed="false">
      <c r="A2287" s="17" t="n">
        <v>45961</v>
      </c>
      <c r="B2287" s="19" t="n">
        <v>0.000111087980270375</v>
      </c>
    </row>
    <row r="2288" customFormat="false" ht="15" hidden="false" customHeight="false" outlineLevel="0" collapsed="false">
      <c r="A2288" s="17" t="n">
        <v>45964</v>
      </c>
      <c r="B2288" s="19" t="n">
        <v>0.000108460173467329</v>
      </c>
    </row>
    <row r="2289" customFormat="false" ht="15" hidden="false" customHeight="false" outlineLevel="0" collapsed="false">
      <c r="A2289" s="17" t="n">
        <v>45965</v>
      </c>
      <c r="B2289" s="19" t="n">
        <v>-0.00707122255418036</v>
      </c>
    </row>
    <row r="2290" customFormat="false" ht="15" hidden="false" customHeight="false" outlineLevel="0" collapsed="false">
      <c r="A2290" s="17" t="n">
        <v>45966</v>
      </c>
      <c r="B2290" s="19" t="n">
        <v>0.00194176483320918</v>
      </c>
    </row>
    <row r="2291" customFormat="false" ht="15" hidden="false" customHeight="false" outlineLevel="0" collapsed="false">
      <c r="A2291" s="17" t="n">
        <v>45967</v>
      </c>
      <c r="B2291" s="19" t="n">
        <v>-0.00292868420759718</v>
      </c>
    </row>
    <row r="2292" customFormat="false" ht="15" hidden="false" customHeight="false" outlineLevel="0" collapsed="false">
      <c r="A2292" s="17" t="n">
        <v>45968</v>
      </c>
      <c r="B2292" s="19" t="n">
        <v>0.0018394008839151</v>
      </c>
    </row>
    <row r="2293" customFormat="false" ht="15" hidden="false" customHeight="false" outlineLevel="0" collapsed="false">
      <c r="A2293" s="17" t="n">
        <v>45971</v>
      </c>
      <c r="B2293" s="19" t="n">
        <v>0.00825622670443682</v>
      </c>
    </row>
    <row r="2294" customFormat="false" ht="15" hidden="false" customHeight="false" outlineLevel="0" collapsed="false">
      <c r="A2294" s="17" t="n">
        <v>45972</v>
      </c>
      <c r="B2294" s="19" t="n">
        <v>0.00330679273791024</v>
      </c>
    </row>
    <row r="2295" customFormat="false" ht="15" hidden="false" customHeight="false" outlineLevel="0" collapsed="false">
      <c r="A2295" s="17" t="n">
        <v>45973</v>
      </c>
      <c r="B2295" s="19" t="n">
        <v>0.00122918734052391</v>
      </c>
    </row>
    <row r="2296" customFormat="false" ht="15" hidden="false" customHeight="false" outlineLevel="0" collapsed="false">
      <c r="A2296" s="17" t="n">
        <v>45974</v>
      </c>
      <c r="B2296" s="19" t="n">
        <v>-0.0090123995396042</v>
      </c>
    </row>
    <row r="2297" customFormat="false" ht="15" hidden="false" customHeight="false" outlineLevel="0" collapsed="false">
      <c r="A2297" s="17" t="n">
        <v>45975</v>
      </c>
      <c r="B2297" s="19" t="n">
        <v>-0.00200234987038506</v>
      </c>
    </row>
    <row r="2298" customFormat="false" ht="15" hidden="false" customHeight="false" outlineLevel="0" collapsed="false">
      <c r="A2298" s="17" t="n">
        <v>45978</v>
      </c>
      <c r="B2298" s="19" t="n">
        <v>-0.00634841671182984</v>
      </c>
    </row>
    <row r="2299" customFormat="false" ht="15" hidden="false" customHeight="false" outlineLevel="0" collapsed="false">
      <c r="A2299" s="17" t="n">
        <v>45979</v>
      </c>
      <c r="B2299" s="19" t="n">
        <v>-0.00190751157520475</v>
      </c>
    </row>
    <row r="2300" customFormat="false" ht="15" hidden="false" customHeight="false" outlineLevel="0" collapsed="false">
      <c r="A2300" s="17" t="n">
        <v>45980</v>
      </c>
      <c r="B2300" s="19" t="n">
        <v>-0.000199158845419656</v>
      </c>
    </row>
    <row r="2301" customFormat="false" ht="15" hidden="false" customHeight="false" outlineLevel="0" collapsed="false">
      <c r="A2301" s="17" t="n">
        <v>45981</v>
      </c>
      <c r="B2301" s="19" t="n">
        <v>-0.00633635922508713</v>
      </c>
    </row>
    <row r="2302" customFormat="false" ht="15" hidden="false" customHeight="false" outlineLevel="0" collapsed="false">
      <c r="A2302" s="17" t="n">
        <v>45982</v>
      </c>
      <c r="B2302" s="19" t="n">
        <v>0.00547630614869887</v>
      </c>
    </row>
    <row r="2303" customFormat="false" ht="15" hidden="false" customHeight="false" outlineLevel="0" collapsed="false">
      <c r="A2303" s="17" t="n">
        <v>45985</v>
      </c>
      <c r="B2303" s="19" t="n">
        <v>0.00691301394741295</v>
      </c>
    </row>
    <row r="2304" customFormat="false" ht="15" hidden="false" customHeight="false" outlineLevel="0" collapsed="false">
      <c r="A2304" s="17" t="n">
        <v>45986</v>
      </c>
      <c r="B2304" s="19" t="n">
        <v>0.00465791704904883</v>
      </c>
    </row>
    <row r="2305" customFormat="false" ht="15" hidden="false" customHeight="false" outlineLevel="0" collapsed="false">
      <c r="A2305" s="17" t="n">
        <v>45987</v>
      </c>
      <c r="B2305" s="19" t="n">
        <v>0.0041934397204535</v>
      </c>
    </row>
    <row r="2306" customFormat="false" ht="15" hidden="false" customHeight="false" outlineLevel="0" collapsed="false">
      <c r="A2306" s="17" t="n">
        <v>45989</v>
      </c>
      <c r="B2306" s="19" t="n">
        <v>0.00278193988188469</v>
      </c>
    </row>
    <row r="2307" customFormat="false" ht="15" hidden="false" customHeight="false" outlineLevel="0" collapsed="false">
      <c r="A2307" s="17" t="n">
        <v>45992</v>
      </c>
      <c r="B2307" s="19" t="n">
        <v>-0.00340498419764557</v>
      </c>
    </row>
    <row r="2308" customFormat="false" ht="15" hidden="false" customHeight="false" outlineLevel="0" collapsed="false">
      <c r="A2308" s="17" t="n">
        <v>45993</v>
      </c>
      <c r="B2308" s="19" t="n">
        <v>0.000184728369758247</v>
      </c>
    </row>
    <row r="2309" customFormat="false" ht="15" hidden="false" customHeight="false" outlineLevel="0" collapsed="false">
      <c r="A2309" s="17" t="n">
        <v>45994</v>
      </c>
      <c r="B2309" s="19" t="n">
        <v>0.0026713334271018</v>
      </c>
    </row>
    <row r="2310" customFormat="false" ht="15" hidden="false" customHeight="false" outlineLevel="0" collapsed="false">
      <c r="A2310" s="17" t="n">
        <v>45995</v>
      </c>
      <c r="B2310" s="19" t="n">
        <v>0.000566820569031235</v>
      </c>
    </row>
    <row r="2311" customFormat="false" ht="15" hidden="false" customHeight="false" outlineLevel="0" collapsed="false">
      <c r="A2311" s="17" t="n">
        <v>45996</v>
      </c>
      <c r="B2311" s="19" t="n">
        <v>0.00031380220440691</v>
      </c>
    </row>
    <row r="2312" customFormat="false" ht="15" hidden="false" customHeight="false" outlineLevel="0" collapsed="false">
      <c r="A2312" s="17" t="n">
        <v>45999</v>
      </c>
      <c r="B2312" s="19" t="n">
        <v>-0.00228021027779091</v>
      </c>
    </row>
    <row r="2313" customFormat="false" ht="15" hidden="false" customHeight="false" outlineLevel="0" collapsed="false">
      <c r="A2313" s="17" t="n">
        <v>46000</v>
      </c>
      <c r="B2313" s="19" t="n">
        <v>-1.37550781575957E-006</v>
      </c>
    </row>
    <row r="2314" customFormat="false" ht="15" hidden="false" customHeight="false" outlineLevel="0" collapsed="false">
      <c r="A2314" s="17" t="n">
        <v>46001</v>
      </c>
      <c r="B2314" s="19" t="n">
        <v>0.00536249082433149</v>
      </c>
    </row>
    <row r="2315" customFormat="false" ht="15" hidden="false" customHeight="false" outlineLevel="0" collapsed="false">
      <c r="A2315" s="17" t="n">
        <v>46002</v>
      </c>
      <c r="B2315" s="19" t="n">
        <v>0.00225506310114731</v>
      </c>
    </row>
    <row r="2316" customFormat="false" ht="15" hidden="false" customHeight="false" outlineLevel="0" collapsed="false">
      <c r="A2316" s="17" t="n">
        <v>46003</v>
      </c>
      <c r="B2316" s="19" t="n">
        <v>-0.00487726025651381</v>
      </c>
    </row>
    <row r="2317" customFormat="false" ht="15" hidden="false" customHeight="false" outlineLevel="0" collapsed="false">
      <c r="A2317" s="17" t="n">
        <v>46006</v>
      </c>
      <c r="B2317" s="19" t="n">
        <v>-3.41625289733694E-005</v>
      </c>
    </row>
    <row r="2318" customFormat="false" ht="15" hidden="false" customHeight="false" outlineLevel="0" collapsed="false">
      <c r="A2318" s="17" t="n">
        <v>46007</v>
      </c>
      <c r="B2318" s="19" t="n">
        <v>-0.00155152159737015</v>
      </c>
    </row>
    <row r="2319" customFormat="false" ht="15" hidden="false" customHeight="false" outlineLevel="0" collapsed="false">
      <c r="A2319" s="17" t="n">
        <v>46008</v>
      </c>
      <c r="B2319" s="19" t="n">
        <v>-0.00353780379112811</v>
      </c>
    </row>
    <row r="2320" customFormat="false" ht="15" hidden="false" customHeight="false" outlineLevel="0" collapsed="false">
      <c r="A2320" s="17" t="n">
        <v>46009</v>
      </c>
      <c r="B2320" s="19" t="n">
        <v>0.00428179386657068</v>
      </c>
    </row>
    <row r="2321" customFormat="false" ht="15" hidden="false" customHeight="false" outlineLevel="0" collapsed="false">
      <c r="A2321" s="17" t="n">
        <v>46010</v>
      </c>
      <c r="B2321" s="19" t="n">
        <v>0.00304560822393052</v>
      </c>
    </row>
    <row r="2322" customFormat="false" ht="15" hidden="false" customHeight="false" outlineLevel="0" collapsed="false">
      <c r="A2322" s="17" t="n">
        <v>46013</v>
      </c>
      <c r="B2322" s="19" t="n">
        <v>0.00503467850213313</v>
      </c>
    </row>
    <row r="2323" customFormat="false" ht="15" hidden="false" customHeight="false" outlineLevel="0" collapsed="false">
      <c r="A2323" s="17" t="n">
        <v>46014</v>
      </c>
      <c r="B2323" s="19" t="n">
        <v>0.00325556476471767</v>
      </c>
    </row>
    <row r="2324" customFormat="false" ht="15" hidden="false" customHeight="false" outlineLevel="0" collapsed="false">
      <c r="A2324" s="17" t="n">
        <v>46015</v>
      </c>
      <c r="B2324" s="19" t="n">
        <v>0.00160786417493575</v>
      </c>
    </row>
    <row r="2325" customFormat="false" ht="15" hidden="false" customHeight="false" outlineLevel="0" collapsed="false">
      <c r="A2325" s="17" t="n">
        <v>46017</v>
      </c>
      <c r="B2325" s="19" t="n">
        <v>0.00144688919525793</v>
      </c>
    </row>
    <row r="2326" customFormat="false" ht="15" hidden="false" customHeight="false" outlineLevel="0" collapsed="false">
      <c r="A2326" s="17" t="n">
        <v>46020</v>
      </c>
      <c r="B2326" s="19" t="n">
        <v>-0.00493829457589401</v>
      </c>
    </row>
    <row r="2327" customFormat="false" ht="15" hidden="false" customHeight="false" outlineLevel="0" collapsed="false">
      <c r="A2327" s="17" t="n">
        <v>46021</v>
      </c>
      <c r="B2327" s="19" t="n">
        <v>-0.000891881057405897</v>
      </c>
    </row>
    <row r="2328" customFormat="false" ht="15" hidden="false" customHeight="false" outlineLevel="0" collapsed="false">
      <c r="A2328" s="17" t="n">
        <v>46022</v>
      </c>
      <c r="B2328" s="19" t="n">
        <v>-0.00396664872559505</v>
      </c>
    </row>
    <row r="2329" customFormat="false" ht="15" hidden="false" customHeight="false" outlineLevel="0" collapsed="false">
      <c r="A2329" s="17" t="n">
        <v>46024</v>
      </c>
      <c r="B2329" s="19" t="n">
        <v>0.00395730793600269</v>
      </c>
    </row>
    <row r="2330" customFormat="false" ht="15" hidden="false" customHeight="false" outlineLevel="0" collapsed="false">
      <c r="A2330" s="17" t="n">
        <v>46027</v>
      </c>
      <c r="B2330" s="19" t="n">
        <v>0.00622862807839342</v>
      </c>
    </row>
    <row r="2331" customFormat="false" ht="15" hidden="false" customHeight="false" outlineLevel="0" collapsed="false">
      <c r="A2331" s="17" t="n">
        <v>46028</v>
      </c>
      <c r="B2331" s="19" t="n">
        <v>0.0044689899240955</v>
      </c>
    </row>
    <row r="2332" customFormat="false" ht="15" hidden="false" customHeight="false" outlineLevel="0" collapsed="false">
      <c r="A2332" s="17" t="n">
        <v>46029</v>
      </c>
      <c r="B2332" s="19" t="n">
        <v>-0.00255968688408059</v>
      </c>
    </row>
    <row r="2333" customFormat="false" ht="15" hidden="false" customHeight="false" outlineLevel="0" collapsed="false">
      <c r="A2333" s="17" t="n">
        <v>46030</v>
      </c>
      <c r="B2333" s="19" t="n">
        <v>0.000680109072718871</v>
      </c>
    </row>
    <row r="2334" customFormat="false" ht="15" hidden="false" customHeight="false" outlineLevel="0" collapsed="false">
      <c r="A2334" s="17" t="n">
        <v>46031</v>
      </c>
      <c r="B2334" s="19" t="n">
        <v>0.00401622671946189</v>
      </c>
    </row>
    <row r="2335" customFormat="false" ht="15" hidden="false" customHeight="false" outlineLevel="0" collapsed="false">
      <c r="A2335" s="17" t="n">
        <v>46034</v>
      </c>
      <c r="B2335" s="19" t="n">
        <v>0.00427735195443746</v>
      </c>
    </row>
    <row r="2336" customFormat="false" ht="15" hidden="false" customHeight="false" outlineLevel="0" collapsed="false">
      <c r="A2336" s="17" t="n">
        <v>46035</v>
      </c>
      <c r="B2336" s="19" t="n">
        <v>-0.000698560968964146</v>
      </c>
    </row>
    <row r="2337" customFormat="false" ht="15" hidden="false" customHeight="false" outlineLevel="0" collapsed="false">
      <c r="A2337" s="17" t="n">
        <v>46036</v>
      </c>
      <c r="B2337" s="19" t="n">
        <v>0.00103924879174033</v>
      </c>
    </row>
    <row r="2338" customFormat="false" ht="15" hidden="false" customHeight="false" outlineLevel="0" collapsed="false">
      <c r="A2338" s="17" t="n">
        <v>46037</v>
      </c>
      <c r="B2338" s="19" t="n">
        <v>0.000447340926844841</v>
      </c>
    </row>
    <row r="2339" customFormat="false" ht="15" hidden="false" customHeight="false" outlineLevel="0" collapsed="false">
      <c r="A2339" s="17" t="n">
        <v>46038</v>
      </c>
      <c r="B2339" s="19" t="n">
        <v>-0.000782575824408882</v>
      </c>
    </row>
    <row r="2340" customFormat="false" ht="15" hidden="false" customHeight="false" outlineLevel="0" collapsed="false">
      <c r="A2340" s="17" t="n">
        <v>46042</v>
      </c>
      <c r="B2340" s="19" t="n">
        <v>-0.00519194755927765</v>
      </c>
    </row>
    <row r="2341" customFormat="false" ht="15" hidden="false" customHeight="false" outlineLevel="0" collapsed="false">
      <c r="A2341" s="17" t="n">
        <v>46043</v>
      </c>
      <c r="B2341" s="19" t="n">
        <v>0.00784967302122275</v>
      </c>
    </row>
    <row r="2342" customFormat="false" ht="15" hidden="false" customHeight="false" outlineLevel="0" collapsed="false">
      <c r="A2342" s="17" t="n">
        <v>46044</v>
      </c>
      <c r="B2342" s="19" t="n">
        <v>0.0047039625204095</v>
      </c>
    </row>
    <row r="2343" customFormat="false" ht="15" hidden="false" customHeight="false" outlineLevel="0" collapsed="false">
      <c r="A2343" s="17" t="n">
        <v>46045</v>
      </c>
      <c r="B2343" s="19" t="n">
        <v>0.00238038850151878</v>
      </c>
    </row>
    <row r="2344" customFormat="false" ht="15" hidden="false" customHeight="false" outlineLevel="0" collapsed="false">
      <c r="A2344" s="17" t="n">
        <v>46048</v>
      </c>
      <c r="B2344" s="19" t="n">
        <v>0.00390980820955056</v>
      </c>
    </row>
    <row r="2345" customFormat="false" ht="15" hidden="false" customHeight="false" outlineLevel="0" collapsed="false">
      <c r="A2345" s="17" t="n">
        <v>46049</v>
      </c>
      <c r="B2345" s="19" t="n">
        <v>0.0062798133240769</v>
      </c>
    </row>
    <row r="2346" customFormat="false" ht="15" hidden="false" customHeight="false" outlineLevel="0" collapsed="false">
      <c r="A2346" s="17" t="n">
        <v>46050</v>
      </c>
      <c r="B2346" s="19" t="n">
        <v>0.00286981479946302</v>
      </c>
    </row>
    <row r="2347" customFormat="false" ht="15" hidden="false" customHeight="false" outlineLevel="0" collapsed="false">
      <c r="A2347" s="17" t="n">
        <v>46051</v>
      </c>
      <c r="B2347" s="19" t="n">
        <v>0.000275654469559683</v>
      </c>
    </row>
    <row r="2348" customFormat="false" ht="15" hidden="false" customHeight="false" outlineLevel="0" collapsed="false">
      <c r="A2348" s="17" t="n">
        <v>46052</v>
      </c>
      <c r="B2348" s="19" t="n">
        <v>-0.0145039549124307</v>
      </c>
    </row>
    <row r="2349" customFormat="false" ht="15" hidden="false" customHeight="false" outlineLevel="0" collapsed="false">
      <c r="A2349" s="17" t="n">
        <v>46055</v>
      </c>
      <c r="B2349" s="19" t="n">
        <v>-0.00176912323874745</v>
      </c>
    </row>
    <row r="2350" customFormat="false" ht="15" hidden="false" customHeight="false" outlineLevel="0" collapsed="false">
      <c r="A2350" s="17" t="n">
        <v>46056</v>
      </c>
      <c r="B2350" s="19" t="n">
        <v>0.00405764382840701</v>
      </c>
    </row>
    <row r="2351" customFormat="false" ht="15" hidden="false" customHeight="false" outlineLevel="0" collapsed="false">
      <c r="A2351" s="17" t="n">
        <v>46057</v>
      </c>
      <c r="B2351" s="19" t="n">
        <v>-0.00110376029425452</v>
      </c>
    </row>
    <row r="2352" customFormat="false" ht="15" hidden="false" customHeight="false" outlineLevel="0" collapsed="false">
      <c r="A2352" s="17" t="n">
        <v>46058</v>
      </c>
      <c r="B2352" s="19" t="n">
        <v>-0.00668410098424443</v>
      </c>
    </row>
    <row r="2353" customFormat="false" ht="15" hidden="false" customHeight="false" outlineLevel="0" collapsed="false">
      <c r="A2353" s="17" t="n">
        <v>46059</v>
      </c>
      <c r="B2353" s="19" t="n">
        <v>0.0133077142247844</v>
      </c>
    </row>
    <row r="2354" customFormat="false" ht="15" hidden="false" customHeight="false" outlineLevel="0" collapsed="false">
      <c r="A2354" s="17" t="n">
        <v>46062</v>
      </c>
      <c r="B2354" s="19" t="n">
        <v>0.00616598819380143</v>
      </c>
    </row>
    <row r="2355" customFormat="false" ht="15" hidden="false" customHeight="false" outlineLevel="0" collapsed="false">
      <c r="A2355" s="17" t="n">
        <v>46063</v>
      </c>
      <c r="B2355" s="19" t="n">
        <v>8.72703836798383E-005</v>
      </c>
    </row>
    <row r="2356" customFormat="false" ht="15" hidden="false" customHeight="false" outlineLevel="0" collapsed="false">
      <c r="A2356" s="17" t="n">
        <v>46064</v>
      </c>
      <c r="B2356" s="19" t="n">
        <v>0.00130790418127291</v>
      </c>
    </row>
    <row r="2357" customFormat="false" ht="15" hidden="false" customHeight="false" outlineLevel="0" collapsed="false">
      <c r="A2357" s="17" t="n">
        <v>46065</v>
      </c>
      <c r="B2357" s="19" t="n">
        <v>-0.0078597341597012</v>
      </c>
    </row>
    <row r="2358" customFormat="false" ht="15" hidden="false" customHeight="false" outlineLevel="0" collapsed="false">
      <c r="A2358" s="17" t="n">
        <v>46066</v>
      </c>
      <c r="B2358" s="19" t="n">
        <v>0.00456003516065406</v>
      </c>
    </row>
    <row r="2359" customFormat="false" ht="15" hidden="false" customHeight="false" outlineLevel="0" collapsed="false">
      <c r="A2359" s="17" t="n">
        <v>46070</v>
      </c>
      <c r="B2359" s="19" t="n">
        <v>-0.00295003920394044</v>
      </c>
    </row>
    <row r="2360" customFormat="false" ht="15" hidden="false" customHeight="false" outlineLevel="0" collapsed="false">
      <c r="A2360" s="17" t="n">
        <v>46071</v>
      </c>
      <c r="B2360" s="19" t="n">
        <v>0.00382702934581958</v>
      </c>
    </row>
    <row r="2361" customFormat="false" ht="15" hidden="false" customHeight="false" outlineLevel="0" collapsed="false">
      <c r="A2361" s="17" t="n">
        <v>46072</v>
      </c>
      <c r="B2361" s="19" t="n">
        <v>-0.00171453814004619</v>
      </c>
    </row>
    <row r="2362" customFormat="false" ht="15" hidden="false" customHeight="false" outlineLevel="0" collapsed="false">
      <c r="A2362" s="17" t="n">
        <v>46073</v>
      </c>
      <c r="B2362" s="19" t="n">
        <v>0.00604088817678283</v>
      </c>
    </row>
    <row r="2363" customFormat="false" ht="15" hidden="false" customHeight="false" outlineLevel="0" collapsed="false">
      <c r="A2363" s="17" t="n">
        <v>46076</v>
      </c>
      <c r="B2363" s="19" t="n">
        <v>-0.000659915024886826</v>
      </c>
    </row>
    <row r="2364" customFormat="false" ht="15" hidden="false" customHeight="false" outlineLevel="0" collapsed="false">
      <c r="A2364" s="17" t="n">
        <v>46077</v>
      </c>
      <c r="B2364" s="19" t="n">
        <v>0.00175060705989205</v>
      </c>
    </row>
    <row r="2365" customFormat="false" ht="15" hidden="false" customHeight="false" outlineLevel="0" collapsed="false">
      <c r="A2365" s="17" t="n">
        <v>46078</v>
      </c>
      <c r="B2365" s="19" t="n">
        <v>0.00328471793495488</v>
      </c>
    </row>
    <row r="2366" customFormat="false" ht="15" hidden="false" customHeight="false" outlineLevel="0" collapsed="false">
      <c r="A2366" s="17" t="n">
        <v>46079</v>
      </c>
      <c r="B2366" s="19" t="n">
        <v>-0.0010080307799254</v>
      </c>
    </row>
    <row r="2367" customFormat="false" ht="15" hidden="false" customHeight="false" outlineLevel="0" collapsed="false">
      <c r="A2367" s="17" t="n">
        <v>46080</v>
      </c>
      <c r="B2367" s="19" t="n">
        <v>8.42799675340178E-005</v>
      </c>
    </row>
    <row r="2368" customFormat="false" ht="15" hidden="false" customHeight="false" outlineLevel="0" collapsed="false">
      <c r="A2368" s="17" t="n">
        <v>46083</v>
      </c>
      <c r="B2368" s="19" t="n">
        <v>-0.00377762989414909</v>
      </c>
    </row>
    <row r="2369" customFormat="false" ht="15" hidden="false" customHeight="false" outlineLevel="0" collapsed="false">
      <c r="A2369" s="17" t="n">
        <v>46084</v>
      </c>
      <c r="B2369" s="19" t="n">
        <v>-0.0141142314243182</v>
      </c>
    </row>
    <row r="2370" customFormat="false" ht="15" hidden="false" customHeight="false" outlineLevel="0" collapsed="false">
      <c r="A2370" s="17" t="n">
        <v>46085</v>
      </c>
      <c r="B2370" s="19" t="n">
        <v>0.00458612213827392</v>
      </c>
    </row>
    <row r="2371" customFormat="false" ht="15" hidden="false" customHeight="false" outlineLevel="0" collapsed="false">
      <c r="A2371" s="17" t="n">
        <v>46086</v>
      </c>
      <c r="B2371" s="19" t="n">
        <v>-0.00759460917250321</v>
      </c>
    </row>
    <row r="2372" customFormat="false" ht="15" hidden="false" customHeight="false" outlineLevel="0" collapsed="false">
      <c r="A2372" s="17" t="n">
        <v>46087</v>
      </c>
      <c r="B2372" s="19" t="n">
        <v>-0.00423066022468632</v>
      </c>
    </row>
    <row r="2373" customFormat="false" ht="15" hidden="false" customHeight="false" outlineLevel="0" collapsed="false">
      <c r="A2373" s="17" t="n">
        <v>46090</v>
      </c>
      <c r="B2373" s="19" t="n">
        <v>0.00553192360292543</v>
      </c>
    </row>
    <row r="2374" customFormat="false" ht="15" hidden="false" customHeight="false" outlineLevel="0" collapsed="false">
      <c r="A2374" s="17" t="n">
        <v>46091</v>
      </c>
      <c r="B2374" s="19" t="n">
        <v>-0.000135122138920196</v>
      </c>
    </row>
    <row r="2375" customFormat="false" ht="15" hidden="false" customHeight="false" outlineLevel="0" collapsed="false">
      <c r="A2375" s="17" t="n">
        <v>46092</v>
      </c>
      <c r="B2375" s="19" t="n">
        <v>-0.00265157155119222</v>
      </c>
    </row>
    <row r="2376" customFormat="false" ht="15" hidden="false" customHeight="false" outlineLevel="0" collapsed="false">
      <c r="A2376" s="17" t="n">
        <v>46093</v>
      </c>
      <c r="B2376" s="19" t="n">
        <v>-0.0116190858031694</v>
      </c>
    </row>
    <row r="2377" customFormat="false" ht="15" hidden="false" customHeight="false" outlineLevel="0" collapsed="false">
      <c r="A2377" s="17" t="n">
        <v>46094</v>
      </c>
      <c r="B2377" s="19" t="n">
        <v>-0.00500228936131697</v>
      </c>
    </row>
    <row r="2378" customFormat="false" ht="15" hidden="false" customHeight="false" outlineLevel="0" collapsed="false">
      <c r="A2378" s="17" t="n">
        <v>46097</v>
      </c>
      <c r="B2378" s="19" t="n">
        <v>0.00794511670544296</v>
      </c>
    </row>
    <row r="2379" customFormat="false" ht="15" hidden="false" customHeight="false" outlineLevel="0" collapsed="false">
      <c r="A2379" s="17" t="n">
        <v>46098</v>
      </c>
      <c r="B2379" s="19" t="n">
        <v>0.00259867988786922</v>
      </c>
    </row>
    <row r="2380" customFormat="false" ht="15" hidden="false" customHeight="false" outlineLevel="0" collapsed="false">
      <c r="A2380" s="17" t="n">
        <v>46099</v>
      </c>
      <c r="B2380" s="19" t="n">
        <v>-0.0118656395301692</v>
      </c>
    </row>
    <row r="2381" customFormat="false" ht="15" hidden="false" customHeight="false" outlineLevel="0" collapsed="false">
      <c r="A2381" s="17" t="n">
        <v>46100</v>
      </c>
      <c r="B2381" s="19" t="n">
        <v>-0.004780029304435</v>
      </c>
    </row>
    <row r="2382" customFormat="false" ht="15" hidden="false" customHeight="false" outlineLevel="0" collapsed="false">
      <c r="A2382" s="17" t="n">
        <v>46101</v>
      </c>
      <c r="B2382" s="19" t="n">
        <v>-0.0163760978935497</v>
      </c>
    </row>
    <row r="2383" customFormat="false" ht="15" hidden="false" customHeight="false" outlineLevel="0" collapsed="false">
      <c r="A2383" s="17" t="n">
        <v>46104</v>
      </c>
      <c r="B2383" s="19" t="n">
        <v>0.00828045547761924</v>
      </c>
    </row>
    <row r="2384" customFormat="false" ht="15" hidden="false" customHeight="false" outlineLevel="0" collapsed="false">
      <c r="A2384" s="17" t="n">
        <v>46105</v>
      </c>
      <c r="B2384" s="19" t="n">
        <v>-0.00403977048540827</v>
      </c>
    </row>
    <row r="2385" customFormat="false" ht="15" hidden="false" customHeight="false" outlineLevel="0" collapsed="false">
      <c r="A2385" s="17" t="n">
        <v>46106</v>
      </c>
      <c r="B2385" s="19" t="n">
        <v>0.00907156040847323</v>
      </c>
    </row>
    <row r="2386" customFormat="false" ht="15" hidden="false" customHeight="false" outlineLevel="0" collapsed="false">
      <c r="A2386" s="17" t="n">
        <v>46107</v>
      </c>
      <c r="B2386" s="19" t="n">
        <v>-0.0144951514539925</v>
      </c>
    </row>
    <row r="2387" customFormat="false" ht="15" hidden="false" customHeight="false" outlineLevel="0" collapsed="false">
      <c r="A2387" s="17" t="n">
        <v>46108</v>
      </c>
      <c r="B2387" s="19" t="n">
        <v>-0.00341090148977008</v>
      </c>
    </row>
    <row r="2388" customFormat="false" ht="15" hidden="false" customHeight="false" outlineLevel="0" collapsed="false">
      <c r="A2388" s="17" t="n">
        <v>46111</v>
      </c>
      <c r="B2388" s="19" t="n">
        <v>0.00124480693785523</v>
      </c>
    </row>
    <row r="2389" customFormat="false" ht="15" hidden="false" customHeight="false" outlineLevel="0" collapsed="false">
      <c r="A2389" s="17" t="n">
        <v>46112</v>
      </c>
      <c r="B2389" s="19" t="n">
        <v>0.0188140023055283</v>
      </c>
    </row>
    <row r="2390" customFormat="false" ht="15" hidden="false" customHeight="false" outlineLevel="0" collapsed="false">
      <c r="A2390" s="17" t="n">
        <v>46113</v>
      </c>
      <c r="B2390" s="19" t="n">
        <v>0.00489447546151944</v>
      </c>
    </row>
    <row r="2391" customFormat="false" ht="15" hidden="false" customHeight="false" outlineLevel="0" collapsed="false">
      <c r="A2391" s="17" t="n">
        <v>46114</v>
      </c>
      <c r="B2391" s="19" t="n">
        <v>-0.00111717664592459</v>
      </c>
    </row>
    <row r="2392" customFormat="false" ht="15" hidden="false" customHeight="false" outlineLevel="0" collapsed="false">
      <c r="A2392" s="17" t="n">
        <v>46118</v>
      </c>
      <c r="B2392" s="19" t="n">
        <v>0.00140600934802859</v>
      </c>
    </row>
    <row r="2393" customFormat="false" ht="15" hidden="false" customHeight="false" outlineLevel="0" collapsed="false">
      <c r="A2393" s="17" t="n">
        <v>46119</v>
      </c>
      <c r="B2393" s="19" t="n">
        <v>0.00107384768381369</v>
      </c>
    </row>
    <row r="2394" customFormat="false" ht="15" hidden="false" customHeight="false" outlineLevel="0" collapsed="false">
      <c r="A2394" s="17" t="n">
        <v>46120</v>
      </c>
      <c r="B2394" s="19" t="n">
        <v>0.0158136160702866</v>
      </c>
    </row>
    <row r="2395" customFormat="false" ht="15" hidden="false" customHeight="false" outlineLevel="0" collapsed="false">
      <c r="A2395" s="17" t="n">
        <v>46121</v>
      </c>
      <c r="B2395" s="19" t="n">
        <v>0.00210403431303807</v>
      </c>
    </row>
    <row r="2396" customFormat="false" ht="15" hidden="false" customHeight="false" outlineLevel="0" collapsed="false">
      <c r="A2396" s="17" t="n">
        <v>46122</v>
      </c>
      <c r="B2396" s="19" t="n">
        <v>-0.000304299265482921</v>
      </c>
    </row>
    <row r="2397" customFormat="false" ht="15" hidden="false" customHeight="false" outlineLevel="0" collapsed="false">
      <c r="A2397" s="17" t="n">
        <v>46125</v>
      </c>
      <c r="B2397" s="19" t="n">
        <v>0.00526699203345071</v>
      </c>
    </row>
    <row r="2398" customFormat="false" ht="15" hidden="false" customHeight="false" outlineLevel="0" collapsed="false">
      <c r="A2398" s="17" t="n">
        <v>46126</v>
      </c>
      <c r="B2398" s="19" t="n">
        <v>0.00793092779447591</v>
      </c>
    </row>
    <row r="2399" customFormat="false" ht="15" hidden="false" customHeight="false" outlineLevel="0" collapsed="false">
      <c r="A2399" s="17" t="n">
        <v>46127</v>
      </c>
      <c r="B2399" s="19" t="n">
        <v>0.000892011490093214</v>
      </c>
    </row>
    <row r="2400" customFormat="false" ht="15" hidden="false" customHeight="false" outlineLevel="0" collapsed="false">
      <c r="A2400" s="17" t="n">
        <v>46128</v>
      </c>
      <c r="B2400" s="19" t="n">
        <v>-0.000117586073190235</v>
      </c>
    </row>
    <row r="2401" customFormat="false" ht="15" hidden="false" customHeight="false" outlineLevel="0" collapsed="false">
      <c r="A2401" s="17" t="n">
        <v>46129</v>
      </c>
      <c r="B2401" s="19" t="n">
        <v>0.00921247181850271</v>
      </c>
    </row>
    <row r="2402" customFormat="false" ht="15" hidden="false" customHeight="false" outlineLevel="0" collapsed="false">
      <c r="A2402" s="17" t="n">
        <v>46132</v>
      </c>
      <c r="B2402" s="19" t="n">
        <v>-0.00269069274572176</v>
      </c>
    </row>
    <row r="2403" customFormat="false" ht="15" hidden="false" customHeight="false" outlineLevel="0" collapsed="false">
      <c r="A2403" s="17" t="n">
        <v>46133</v>
      </c>
      <c r="B2403" s="19" t="n">
        <v>-0.00859689560265953</v>
      </c>
    </row>
    <row r="2404" customFormat="false" ht="15" hidden="false" customHeight="false" outlineLevel="0" collapsed="false">
      <c r="A2404" s="17" t="n">
        <v>46134</v>
      </c>
      <c r="B2404" s="19" t="n">
        <v>0.00471622385995518</v>
      </c>
    </row>
    <row r="2405" customFormat="false" ht="15" hidden="false" customHeight="false" outlineLevel="0" collapsed="false">
      <c r="A2405" s="17" t="n">
        <v>46135</v>
      </c>
      <c r="B2405" s="19" t="n">
        <v>-0.00409329002869163</v>
      </c>
    </row>
    <row r="2406" customFormat="false" ht="15" hidden="false" customHeight="false" outlineLevel="0" collapsed="false">
      <c r="A2406" s="17" t="n">
        <v>46136</v>
      </c>
      <c r="B2406" s="19" t="n">
        <v>0.00468916596605107</v>
      </c>
    </row>
    <row r="2407" customFormat="false" ht="15" hidden="false" customHeight="false" outlineLevel="0" collapsed="false">
      <c r="A2407" s="17" t="n">
        <v>46139</v>
      </c>
      <c r="B2407" s="19" t="n">
        <v>-0.00115428810939344</v>
      </c>
    </row>
    <row r="2408" customFormat="false" ht="15" hidden="false" customHeight="false" outlineLevel="0" collapsed="false">
      <c r="A2408" s="17" t="n">
        <v>46140</v>
      </c>
      <c r="B2408" s="19" t="n">
        <v>-0.00296268938095823</v>
      </c>
    </row>
    <row r="2409" customFormat="false" ht="15" hidden="false" customHeight="false" outlineLevel="0" collapsed="false">
      <c r="A2409" s="17" t="n">
        <v>46141</v>
      </c>
      <c r="B2409" s="19" t="n">
        <v>-0.00396599954637256</v>
      </c>
    </row>
    <row r="2410" customFormat="false" ht="15" hidden="false" customHeight="false" outlineLevel="0" collapsed="false">
      <c r="A2410" s="17" t="n">
        <v>46142</v>
      </c>
      <c r="B2410" s="19" t="n">
        <v>0.00796826203842915</v>
      </c>
    </row>
    <row r="2411" customFormat="false" ht="15" hidden="false" customHeight="false" outlineLevel="0" collapsed="false">
      <c r="A2411" s="17" t="n">
        <v>46143</v>
      </c>
      <c r="B2411" s="19" t="n">
        <v>0.00171062816549239</v>
      </c>
    </row>
    <row r="2412" customFormat="false" ht="15" hidden="false" customHeight="false" outlineLevel="0" collapsed="false">
      <c r="A2412" s="17" t="n">
        <v>46146</v>
      </c>
      <c r="B2412" s="19" t="n">
        <v>-0.00593319354032018</v>
      </c>
    </row>
    <row r="2413" customFormat="false" ht="15" hidden="false" customHeight="false" outlineLevel="0" collapsed="false">
      <c r="A2413" s="17" t="n">
        <v>46147</v>
      </c>
      <c r="B2413" s="19" t="n">
        <v>0.00542216484405422</v>
      </c>
    </row>
    <row r="2414" customFormat="false" ht="15" hidden="false" customHeight="false" outlineLevel="0" collapsed="false">
      <c r="A2414" s="17" t="n">
        <v>46148</v>
      </c>
      <c r="B2414" s="19" t="n">
        <v>0.0118613552758955</v>
      </c>
    </row>
    <row r="2415" customFormat="false" ht="15" hidden="false" customHeight="false" outlineLevel="0" collapsed="false">
      <c r="A2415" s="17" t="n">
        <v>46149</v>
      </c>
      <c r="B2415" s="19" t="n">
        <v>-0.00463786377109654</v>
      </c>
    </row>
    <row r="2416" customFormat="false" ht="15" hidden="false" customHeight="false" outlineLevel="0" collapsed="false">
      <c r="A2416" s="17" t="n">
        <v>46150</v>
      </c>
      <c r="B2416" s="19" t="n">
        <v>0.00570768092396001</v>
      </c>
    </row>
    <row r="2417" customFormat="false" ht="15" hidden="false" customHeight="false" outlineLevel="0" collapsed="false">
      <c r="A2417" s="17" t="n">
        <v>46153</v>
      </c>
      <c r="B2417" s="19" t="n">
        <v>-0.000104430348837559</v>
      </c>
    </row>
    <row r="2418" customFormat="false" ht="15" hidden="false" customHeight="false" outlineLevel="0" collapsed="false">
      <c r="A2418" s="17" t="n">
        <v>46154</v>
      </c>
      <c r="B2418" s="19" t="n">
        <v>-0.0045080447437541</v>
      </c>
    </row>
    <row r="2419" customFormat="false" ht="15" hidden="false" customHeight="false" outlineLevel="0" collapsed="false">
      <c r="A2419" s="17" t="n">
        <v>46155</v>
      </c>
      <c r="B2419" s="19" t="n">
        <v>0.00223197380437923</v>
      </c>
    </row>
    <row r="2420" customFormat="false" ht="15" hidden="false" customHeight="false" outlineLevel="0" collapsed="false">
      <c r="A2420" s="17" t="n">
        <v>46156</v>
      </c>
      <c r="B2420" s="19" t="n">
        <v>0.00112468144611588</v>
      </c>
    </row>
    <row r="2421" customFormat="false" ht="15" hidden="false" customHeight="false" outlineLevel="0" collapsed="false">
      <c r="A2421" s="17" t="n">
        <v>46157</v>
      </c>
      <c r="B2421" s="19" t="n">
        <v>-0.0110560579523248</v>
      </c>
    </row>
    <row r="2422" customFormat="false" ht="15" hidden="false" customHeight="false" outlineLevel="0" collapsed="false">
      <c r="A2422" s="17" t="n">
        <v>46160</v>
      </c>
      <c r="B2422" s="19" t="n">
        <v>0.000427814277571104</v>
      </c>
    </row>
    <row r="2423" customFormat="false" ht="15" hidden="false" customHeight="false" outlineLevel="0" collapsed="false">
      <c r="A2423" s="17" t="n">
        <v>46161</v>
      </c>
      <c r="B2423" s="19" t="n">
        <v>-0.00495006018930566</v>
      </c>
    </row>
    <row r="2424" customFormat="false" ht="15" hidden="false" customHeight="false" outlineLevel="0" collapsed="false">
      <c r="A2424" s="17" t="n">
        <v>46162</v>
      </c>
      <c r="B2424" s="19" t="n">
        <v>0.0085422176575356</v>
      </c>
    </row>
    <row r="2425" customFormat="false" ht="15" hidden="false" customHeight="false" outlineLevel="0" collapsed="false">
      <c r="A2425" s="17" t="n">
        <v>46163</v>
      </c>
      <c r="B2425" s="19" t="n">
        <v>0.00213212573786126</v>
      </c>
    </row>
    <row r="2426" customFormat="false" ht="15" hidden="false" customHeight="false" outlineLevel="0" collapsed="false">
      <c r="A2426" s="17" t="n">
        <v>46164</v>
      </c>
      <c r="B2426" s="19" t="n">
        <v>0.000858531545309571</v>
      </c>
    </row>
    <row r="2427" customFormat="false" ht="15" hidden="false" customHeight="false" outlineLevel="0" collapsed="false">
      <c r="A2427" s="17" t="n">
        <v>46168</v>
      </c>
      <c r="B2427" s="19" t="n">
        <v>0.00635037814130257</v>
      </c>
    </row>
    <row r="2428" customFormat="false" ht="15" hidden="false" customHeight="false" outlineLevel="0" collapsed="false">
      <c r="A2428" s="17" t="n">
        <v>46169</v>
      </c>
      <c r="B2428" s="19" t="n">
        <v>-0.000855590437274567</v>
      </c>
    </row>
    <row r="2429" customFormat="false" ht="15" hidden="false" customHeight="false" outlineLevel="0" collapsed="false">
      <c r="A2429" s="17" t="n">
        <v>46170</v>
      </c>
      <c r="B2429" s="19" t="n">
        <v>0.00346004035465009</v>
      </c>
    </row>
    <row r="2430" customFormat="false" ht="15" hidden="false" customHeight="false" outlineLevel="0" collapsed="false">
      <c r="A2430" s="17" t="n">
        <v>46171</v>
      </c>
      <c r="B2430" s="19" t="n">
        <v>0.00131848846287586</v>
      </c>
    </row>
    <row r="2431" customFormat="false" ht="15" hidden="false" customHeight="false" outlineLevel="0" collapsed="false">
      <c r="A2431" s="17" t="n">
        <v>46174</v>
      </c>
      <c r="B2431" s="19" t="n">
        <v>-0.00127905013576146</v>
      </c>
    </row>
    <row r="2432" customFormat="false" ht="15" hidden="false" customHeight="false" outlineLevel="0" collapsed="false">
      <c r="A2432" s="17" t="n">
        <v>46175</v>
      </c>
      <c r="B2432" s="19" t="n">
        <v>0.00263723926520942</v>
      </c>
    </row>
    <row r="2433" customFormat="false" ht="15" hidden="false" customHeight="false" outlineLevel="0" collapsed="false">
      <c r="A2433" s="17" t="n">
        <v>46176</v>
      </c>
      <c r="B2433" s="19" t="n">
        <v>-0.00556300189283687</v>
      </c>
    </row>
    <row r="2434" customFormat="false" ht="15" hidden="false" customHeight="false" outlineLevel="0" collapsed="false">
      <c r="A2434" s="17" t="n">
        <v>46177</v>
      </c>
      <c r="B2434" s="19" t="n">
        <v>0.00325284032176021</v>
      </c>
    </row>
    <row r="2435" customFormat="false" ht="15" hidden="false" customHeight="false" outlineLevel="0" collapsed="false">
      <c r="A2435" s="17" t="n">
        <v>46178</v>
      </c>
      <c r="B2435" s="19" t="n">
        <v>-0.0178868388378952</v>
      </c>
    </row>
    <row r="2436" customFormat="false" ht="15" hidden="false" customHeight="false" outlineLevel="0" collapsed="false">
      <c r="A2436" s="17" t="n">
        <v>46181</v>
      </c>
      <c r="B2436" s="19" t="n">
        <v>0.00235513812022514</v>
      </c>
    </row>
    <row r="2437" customFormat="false" ht="15" hidden="false" customHeight="false" outlineLevel="0" collapsed="false">
      <c r="A2437" s="17" t="n">
        <v>46182</v>
      </c>
      <c r="B2437" s="19" t="n">
        <v>-3.0841024884154E-005</v>
      </c>
    </row>
    <row r="2438" customFormat="false" ht="15" hidden="false" customHeight="false" outlineLevel="0" collapsed="false">
      <c r="A2438" s="17" t="n">
        <v>46183</v>
      </c>
      <c r="B2438" s="19" t="n">
        <v>-0.00923765056909576</v>
      </c>
    </row>
    <row r="2439" customFormat="false" ht="15" hidden="false" customHeight="false" outlineLevel="0" collapsed="false">
      <c r="A2439" s="17" t="n">
        <v>46184</v>
      </c>
      <c r="B2439" s="19" t="n">
        <v>0.0142407444210209</v>
      </c>
    </row>
    <row r="2440" customFormat="false" ht="15" hidden="false" customHeight="false" outlineLevel="0" collapsed="false">
      <c r="A2440" s="17" t="n">
        <v>46185</v>
      </c>
      <c r="B2440" s="19" t="n">
        <v>0.0031958075163161</v>
      </c>
    </row>
    <row r="2441" customFormat="false" ht="15" hidden="false" customHeight="false" outlineLevel="0" collapsed="false">
      <c r="A2441" s="17" t="n">
        <v>46188</v>
      </c>
      <c r="B2441" s="19" t="n">
        <v>0.00930396839980929</v>
      </c>
    </row>
    <row r="2442" customFormat="false" ht="15" hidden="false" customHeight="false" outlineLevel="0" collapsed="false">
      <c r="A2442" s="17" t="n">
        <v>46189</v>
      </c>
      <c r="B2442" s="19" t="n">
        <v>-0.00170526500093771</v>
      </c>
    </row>
    <row r="2443" customFormat="false" ht="15" hidden="false" customHeight="false" outlineLevel="0" collapsed="false">
      <c r="A2443" s="17" t="n">
        <v>46190</v>
      </c>
      <c r="B2443" s="19" t="n">
        <v>-0.00815699697374472</v>
      </c>
    </row>
    <row r="2444" customFormat="false" ht="15" hidden="false" customHeight="false" outlineLevel="0" collapsed="false">
      <c r="A2444" s="17" t="n">
        <v>46191</v>
      </c>
      <c r="B2444" s="19" t="n">
        <v>0.00680693062178284</v>
      </c>
    </row>
    <row r="2445" customFormat="false" ht="15" hidden="false" customHeight="false" outlineLevel="0" collapsed="false">
      <c r="A2445" s="17" t="n">
        <v>46195</v>
      </c>
      <c r="B2445" s="19" t="n">
        <v>-0.00213464267695485</v>
      </c>
    </row>
    <row r="2446" customFormat="false" ht="15" hidden="false" customHeight="false" outlineLevel="0" collapsed="false">
      <c r="A2446" s="17" t="n">
        <v>46196</v>
      </c>
      <c r="B2446" s="19" t="n">
        <v>-0.00953309420268622</v>
      </c>
    </row>
    <row r="2447" customFormat="false" ht="15" hidden="false" customHeight="false" outlineLevel="0" collapsed="false">
      <c r="A2447" s="17" t="n">
        <v>46197</v>
      </c>
      <c r="B2447" s="19" t="n">
        <v>-0.000448429753496571</v>
      </c>
    </row>
    <row r="2448" customFormat="false" ht="15" hidden="false" customHeight="false" outlineLevel="0" collapsed="false">
      <c r="A2448" s="17" t="n">
        <v>46198</v>
      </c>
      <c r="B2448" s="19" t="n">
        <v>0.00145685854552413</v>
      </c>
    </row>
    <row r="2449" customFormat="false" ht="15" hidden="false" customHeight="false" outlineLevel="0" collapsed="false">
      <c r="A2449" s="17" t="n">
        <v>46199</v>
      </c>
      <c r="B2449" s="19" t="n">
        <v>0.000105060267642898</v>
      </c>
    </row>
    <row r="2450" customFormat="false" ht="15" hidden="false" customHeight="false" outlineLevel="0" collapsed="false">
      <c r="A2450" s="17" t="n">
        <v>46202</v>
      </c>
      <c r="B2450" s="19" t="n">
        <v>0.00370011126391323</v>
      </c>
    </row>
    <row r="2451" customFormat="false" ht="15" hidden="false" customHeight="false" outlineLevel="0" collapsed="false">
      <c r="A2451" s="17" t="n">
        <v>46203</v>
      </c>
      <c r="B2451" s="19" t="n">
        <v>0.000870707710685759</v>
      </c>
    </row>
    <row r="2452" customFormat="false" ht="15" hidden="false" customHeight="false" outlineLevel="0" collapsed="false">
      <c r="A2452" s="17" t="n">
        <v>46204</v>
      </c>
      <c r="B2452" s="19" t="n">
        <v>-0.00207155173795659</v>
      </c>
    </row>
    <row r="2453" customFormat="false" ht="15" hidden="false" customHeight="false" outlineLevel="0" collapsed="false">
      <c r="A2453" s="17" t="n">
        <v>46205</v>
      </c>
      <c r="B2453" s="19" t="n">
        <v>0.00190504398702163</v>
      </c>
    </row>
    <row r="2454" customFormat="false" ht="15" hidden="false" customHeight="false" outlineLevel="0" collapsed="false">
      <c r="A2454" s="17" t="n">
        <v>46209</v>
      </c>
      <c r="B2454" s="19" t="n">
        <v>0.00558274219087807</v>
      </c>
    </row>
    <row r="2455" customFormat="false" ht="15" hidden="false" customHeight="false" outlineLevel="0" collapsed="false">
      <c r="A2455" s="17" t="n">
        <v>46210</v>
      </c>
      <c r="B2455" s="19" t="n">
        <v>-0.00595215219190604</v>
      </c>
    </row>
    <row r="2456" customFormat="false" ht="15" hidden="false" customHeight="false" outlineLevel="0" collapsed="false">
      <c r="A2456" s="17" t="n">
        <v>46211</v>
      </c>
      <c r="B2456" s="19" t="n">
        <v>-0.00293462682857348</v>
      </c>
    </row>
    <row r="2457" customFormat="false" ht="15" hidden="false" customHeight="false" outlineLevel="0" collapsed="false">
      <c r="A2457" s="17" t="n">
        <v>46212</v>
      </c>
      <c r="B2457" s="19" t="n">
        <v>0.00436518971493949</v>
      </c>
    </row>
    <row r="2458" customFormat="false" ht="15" hidden="false" customHeight="false" outlineLevel="0" collapsed="false">
      <c r="A2458" s="17" t="n">
        <v>46213</v>
      </c>
      <c r="B2458" s="19" t="n">
        <v>0.00156020600842011</v>
      </c>
    </row>
    <row r="2459" customFormat="false" ht="15" hidden="false" customHeight="false" outlineLevel="0" collapsed="false">
      <c r="A2459" s="17" t="n">
        <v>46216</v>
      </c>
      <c r="B2459" s="19" t="n">
        <v>-0.00783704240432714</v>
      </c>
    </row>
    <row r="2460" customFormat="false" ht="15" hidden="false" customHeight="false" outlineLevel="0" collapsed="false">
      <c r="A2460" s="17" t="n">
        <v>46217</v>
      </c>
      <c r="B2460" s="19" t="n">
        <v>0.00394192108055735</v>
      </c>
    </row>
    <row r="2461" customFormat="false" ht="15" hidden="false" customHeight="false" outlineLevel="0" collapsed="false">
      <c r="A2461" s="17" t="n">
        <v>46218</v>
      </c>
      <c r="B2461" s="19" t="n">
        <v>0.00216362414047389</v>
      </c>
    </row>
    <row r="2462" customFormat="false" ht="15" hidden="false" customHeight="false" outlineLevel="0" collapsed="false">
      <c r="A2462" s="17" t="n">
        <v>46219</v>
      </c>
      <c r="B2462" s="19" t="n">
        <v>-0.00378043497492708</v>
      </c>
    </row>
    <row r="2463" customFormat="false" ht="15" hidden="false" customHeight="false" outlineLevel="0" collapsed="false">
      <c r="A2463" s="17" t="n">
        <v>46220</v>
      </c>
      <c r="B2463" s="19" t="n">
        <v>-0.00339433403048328</v>
      </c>
    </row>
    <row r="2464" customFormat="false" ht="15" hidden="false" customHeight="false" outlineLevel="0" collapsed="false">
      <c r="A2464" s="17" t="n">
        <v>46223</v>
      </c>
      <c r="B2464" s="19" t="n">
        <v>-0.0023079036752276</v>
      </c>
    </row>
    <row r="2465" customFormat="false" ht="15" hidden="false" customHeight="false" outlineLevel="0" collapsed="false">
      <c r="A2465" s="17" t="n">
        <v>46224</v>
      </c>
      <c r="B2465" s="19" t="n">
        <v>0.00569610358092043</v>
      </c>
    </row>
    <row r="2466" customFormat="false" ht="15" hidden="false" customHeight="false" outlineLevel="0" collapsed="false">
      <c r="A2466" s="17" t="n">
        <v>46225</v>
      </c>
      <c r="B2466" s="19" t="n">
        <v>-0.000390604798346406</v>
      </c>
    </row>
    <row r="2467" customFormat="false" ht="15" hidden="false" customHeight="false" outlineLevel="0" collapsed="false">
      <c r="A2467" s="17" t="n">
        <v>46226</v>
      </c>
      <c r="B2467" s="19" t="n">
        <v>-0.00681874555495254</v>
      </c>
    </row>
    <row r="2468" customFormat="false" ht="15" hidden="false" customHeight="false" outlineLevel="0" collapsed="false">
      <c r="A2468" s="17" t="n">
        <v>46227</v>
      </c>
      <c r="B2468" s="19" t="n">
        <v>0.000727286163909602</v>
      </c>
    </row>
    <row r="2469" customFormat="false" ht="15" hidden="false" customHeight="false" outlineLevel="0" collapsed="false">
      <c r="A2469" s="17" t="n">
        <v>46230</v>
      </c>
      <c r="B2469" s="19" t="n">
        <v>0.00169531248804344</v>
      </c>
    </row>
    <row r="2470" customFormat="false" ht="15" hidden="false" customHeight="false" outlineLevel="0" collapsed="false">
      <c r="A2470" s="17" t="n">
        <v>46231</v>
      </c>
      <c r="B2470" s="19" t="n">
        <v>-0.000117923619474381</v>
      </c>
    </row>
    <row r="2471" customFormat="false" ht="15" hidden="false" customHeight="false" outlineLevel="0" collapsed="false">
      <c r="A2471" s="17" t="n">
        <v>46232</v>
      </c>
      <c r="B2471" s="19" t="n">
        <v>-0.00713680159345154</v>
      </c>
    </row>
    <row r="2472" customFormat="false" ht="15" hidden="false" customHeight="false" outlineLevel="0" collapsed="false">
      <c r="A2472" s="17" t="n">
        <v>46233</v>
      </c>
      <c r="B2472" s="19" t="n">
        <v>0.0104266099819508</v>
      </c>
    </row>
    <row r="2473" customFormat="false" ht="15" hidden="false" customHeight="false" outlineLevel="0" collapsed="false">
      <c r="A2473" s="17" t="n">
        <v>46234</v>
      </c>
      <c r="B2473" s="19" t="n">
        <v>-0.000887504536693951</v>
      </c>
    </row>
    <row r="2474" customFormat="false" ht="15" hidden="false" customHeight="false" outlineLevel="0" collapsed="false">
      <c r="A2474" s="17" t="n">
        <v>46237</v>
      </c>
      <c r="B2474" s="19" t="n">
        <v>0.00656571617219703</v>
      </c>
    </row>
    <row r="2475" customFormat="false" ht="15" hidden="false" customHeight="false" outlineLevel="0" collapsed="false">
      <c r="A2475" s="17" t="n">
        <v>46238</v>
      </c>
      <c r="B2475" s="19" t="n">
        <v>0.0103591242837253</v>
      </c>
    </row>
    <row r="2476" customFormat="false" ht="15" hidden="false" customHeight="false" outlineLevel="0" collapsed="false">
      <c r="A2476" s="17" t="n">
        <v>46239</v>
      </c>
      <c r="B2476" s="19" t="n">
        <v>0.00149004115601148</v>
      </c>
    </row>
    <row r="2477" customFormat="false" ht="15" hidden="false" customHeight="false" outlineLevel="0" collapsed="false">
      <c r="A2477" s="17" t="n">
        <v>46240</v>
      </c>
      <c r="B2477" s="19" t="n">
        <v>-0.00214953732470691</v>
      </c>
    </row>
    <row r="2478" customFormat="false" ht="15" hidden="false" customHeight="false" outlineLevel="0" collapsed="false">
      <c r="A2478" s="17" t="n">
        <v>46241</v>
      </c>
      <c r="B2478" s="19" t="n">
        <v>0.00586324737525978</v>
      </c>
    </row>
    <row r="2479" customFormat="false" ht="15" hidden="false" customHeight="false" outlineLevel="0" collapsed="false">
      <c r="A2479" s="17" t="n">
        <v>46244</v>
      </c>
      <c r="B2479" s="19" t="n">
        <v>-0.00158210996596297</v>
      </c>
    </row>
    <row r="2480" customFormat="false" ht="15" hidden="false" customHeight="false" outlineLevel="0" collapsed="false">
      <c r="A2480" s="17" t="n">
        <v>46245</v>
      </c>
      <c r="B2480" s="19" t="n">
        <v>-0.00119830120496278</v>
      </c>
    </row>
    <row r="2481" customFormat="false" ht="15" hidden="false" customHeight="false" outlineLevel="0" collapsed="false">
      <c r="A2481" s="17" t="n">
        <v>46246</v>
      </c>
      <c r="B2481" s="19" t="n">
        <v>0.00341309571447868</v>
      </c>
    </row>
    <row r="2482" customFormat="false" ht="15" hidden="false" customHeight="false" outlineLevel="0" collapsed="false">
      <c r="A2482" s="17" t="n">
        <v>46247</v>
      </c>
      <c r="B2482" s="19" t="n">
        <v>0.00247016118372145</v>
      </c>
    </row>
    <row r="2483" customFormat="false" ht="15" hidden="false" customHeight="false" outlineLevel="0" collapsed="false">
      <c r="A2483" s="17" t="n">
        <v>46248</v>
      </c>
      <c r="B2483" s="19" t="n">
        <v>-0.000640169536110458</v>
      </c>
    </row>
    <row r="2484" customFormat="false" ht="15" hidden="false" customHeight="false" outlineLevel="0" collapsed="false">
      <c r="A2484" s="17" t="n">
        <v>46251</v>
      </c>
      <c r="B2484" s="19" t="n">
        <v>-0.00120087611504505</v>
      </c>
    </row>
    <row r="2485" customFormat="false" ht="15" hidden="false" customHeight="false" outlineLevel="0" collapsed="false">
      <c r="A2485" s="17" t="n">
        <v>46252</v>
      </c>
      <c r="B2485" s="19" t="n">
        <v>-0.00542950485263705</v>
      </c>
    </row>
    <row r="2486" customFormat="false" ht="15" hidden="false" customHeight="false" outlineLevel="0" collapsed="false">
      <c r="A2486" s="17" t="n">
        <v>46253</v>
      </c>
      <c r="B2486" s="19" t="n">
        <v>0.00601039213191723</v>
      </c>
    </row>
    <row r="2487" customFormat="false" ht="15" hidden="false" customHeight="false" outlineLevel="0" collapsed="false">
      <c r="A2487" s="17" t="n">
        <v>46254</v>
      </c>
      <c r="B2487" s="19" t="n">
        <v>-0.00285107994144784</v>
      </c>
    </row>
    <row r="2488" customFormat="false" ht="15" hidden="false" customHeight="false" outlineLevel="0" collapsed="false">
      <c r="A2488" s="17" t="n">
        <v>46255</v>
      </c>
      <c r="B2488" s="19" t="n">
        <v>0.00281286923792323</v>
      </c>
    </row>
    <row r="2489" customFormat="false" ht="15" hidden="false" customHeight="false" outlineLevel="0" collapsed="false">
      <c r="A2489" s="17" t="n">
        <v>46258</v>
      </c>
      <c r="B2489" s="19" t="n">
        <v>0.000159265360823335</v>
      </c>
    </row>
    <row r="2490" customFormat="false" ht="15" hidden="false" customHeight="false" outlineLevel="0" collapsed="false">
      <c r="A2490" s="17" t="n">
        <v>46259</v>
      </c>
      <c r="B2490" s="19" t="n">
        <v>0.00402239258796211</v>
      </c>
    </row>
    <row r="2491" customFormat="false" ht="15" hidden="false" customHeight="false" outlineLevel="0" collapsed="false">
      <c r="A2491" s="17" t="n">
        <v>46260</v>
      </c>
      <c r="B2491" s="19" t="n">
        <v>-0.00177891553078102</v>
      </c>
    </row>
    <row r="2492" customFormat="false" ht="15" hidden="false" customHeight="false" outlineLevel="0" collapsed="false">
      <c r="A2492" s="17" t="n">
        <v>46261</v>
      </c>
      <c r="B2492" s="19" t="n">
        <v>0.00157713537384718</v>
      </c>
    </row>
    <row r="2493" customFormat="false" ht="15" hidden="false" customHeight="false" outlineLevel="0" collapsed="false">
      <c r="A2493" s="17" t="n">
        <v>46262</v>
      </c>
      <c r="B2493" s="19" t="n">
        <v>-0.00502334744270649</v>
      </c>
    </row>
    <row r="2494" customFormat="false" ht="15" hidden="false" customHeight="false" outlineLevel="0" collapsed="false">
      <c r="A2494" s="17" t="n">
        <v>46265</v>
      </c>
      <c r="B2494" s="19" t="n">
        <v>-0.00243805804333042</v>
      </c>
    </row>
    <row r="2495" customFormat="false" ht="15" hidden="false" customHeight="false" outlineLevel="0" collapsed="false">
      <c r="A2495" s="17" t="n">
        <v>46266</v>
      </c>
      <c r="B2495" s="19" t="n">
        <v>-0.00608911339867602</v>
      </c>
    </row>
    <row r="2496" customFormat="false" ht="15" hidden="false" customHeight="false" outlineLevel="0" collapsed="false">
      <c r="A2496" s="17" t="n">
        <v>46267</v>
      </c>
      <c r="B2496" s="19" t="n">
        <v>0.00280122191794496</v>
      </c>
    </row>
    <row r="2497" customFormat="false" ht="15" hidden="false" customHeight="false" outlineLevel="0" collapsed="false">
      <c r="A2497" s="17" t="n">
        <v>46268</v>
      </c>
      <c r="B2497" s="19" t="n">
        <v>0.0066750149175514</v>
      </c>
    </row>
    <row r="2498" customFormat="false" ht="15" hidden="false" customHeight="false" outlineLevel="0" collapsed="false">
      <c r="A2498" s="17" t="n">
        <v>46269</v>
      </c>
      <c r="B2498" s="19" t="n">
        <v>-0.000747221902562378</v>
      </c>
    </row>
    <row r="2499" customFormat="false" ht="15" hidden="false" customHeight="false" outlineLevel="0" collapsed="false">
      <c r="A2499" s="17" t="n">
        <v>46273</v>
      </c>
      <c r="B2499" s="19" t="n">
        <v>-0.00321752680554854</v>
      </c>
    </row>
    <row r="2500" customFormat="false" ht="15" hidden="false" customHeight="false" outlineLevel="0" collapsed="false">
      <c r="A2500" s="17" t="n">
        <v>46274</v>
      </c>
      <c r="B2500" s="19" t="n">
        <v>-0.00330826330722345</v>
      </c>
    </row>
    <row r="2501" customFormat="false" ht="15" hidden="false" customHeight="false" outlineLevel="0" collapsed="false">
      <c r="A2501" s="17" t="n">
        <v>46275</v>
      </c>
      <c r="B2501" s="19" t="n">
        <v>-0.00726192710927087</v>
      </c>
    </row>
    <row r="2502" customFormat="false" ht="15" hidden="false" customHeight="false" outlineLevel="0" collapsed="false">
      <c r="A2502" s="17" t="n">
        <v>46276</v>
      </c>
      <c r="B2502" s="19" t="n">
        <v>0.00395917014237956</v>
      </c>
    </row>
    <row r="2503" customFormat="false" ht="15" hidden="false" customHeight="false" outlineLevel="0" collapsed="false">
      <c r="A2503" s="17" t="n">
        <v>46279</v>
      </c>
      <c r="B2503" s="19" t="n">
        <v>-0.00461190862801042</v>
      </c>
    </row>
    <row r="2504" customFormat="false" ht="15" hidden="false" customHeight="false" outlineLevel="0" collapsed="false">
      <c r="A2504" s="17" t="n">
        <v>46280</v>
      </c>
      <c r="B2504" s="19" t="n">
        <v>-0.00242959898518069</v>
      </c>
    </row>
    <row r="2505" customFormat="false" ht="15" hidden="false" customHeight="false" outlineLevel="0" collapsed="false">
      <c r="A2505" s="17" t="n">
        <v>46281</v>
      </c>
      <c r="B2505" s="19" t="n">
        <v>-0.00272389990608046</v>
      </c>
    </row>
    <row r="2506" customFormat="false" ht="15" hidden="false" customHeight="false" outlineLevel="0" collapsed="false">
      <c r="A2506" s="17" t="n">
        <v>46282</v>
      </c>
      <c r="B2506" s="19" t="n">
        <v>0.00797791276647231</v>
      </c>
    </row>
    <row r="2507" customFormat="false" ht="15" hidden="false" customHeight="false" outlineLevel="0" collapsed="false">
      <c r="A2507" s="17" t="n">
        <v>46283</v>
      </c>
      <c r="B2507" s="19" t="n">
        <v>-0.00212348612734881</v>
      </c>
    </row>
    <row r="2508" customFormat="false" ht="15" hidden="false" customHeight="false" outlineLevel="0" collapsed="false">
      <c r="A2508" s="17" t="n">
        <v>46286</v>
      </c>
      <c r="B2508" s="19" t="n">
        <v>0.00748634068665099</v>
      </c>
    </row>
    <row r="2509" customFormat="false" ht="15" hidden="false" customHeight="false" outlineLevel="0" collapsed="false">
      <c r="A2509" s="17" t="n">
        <v>46287</v>
      </c>
      <c r="B2509" s="19" t="n">
        <v>0.00112167687080955</v>
      </c>
    </row>
    <row r="2510" customFormat="false" ht="15" hidden="false" customHeight="false" outlineLevel="0" collapsed="false">
      <c r="A2510" s="17" t="n">
        <v>46288</v>
      </c>
      <c r="B2510" s="19" t="n">
        <v>-0.00950253003428303</v>
      </c>
    </row>
    <row r="2511" customFormat="false" ht="15" hidden="false" customHeight="false" outlineLevel="0" collapsed="false">
      <c r="A2511" s="17" t="n">
        <v>46289</v>
      </c>
      <c r="B2511" s="19" t="n">
        <v>-0.00305976611186154</v>
      </c>
    </row>
    <row r="2512" customFormat="false" ht="15" hidden="false" customHeight="false" outlineLevel="0" collapsed="false">
      <c r="A2512" s="17" t="n">
        <v>46290</v>
      </c>
      <c r="B2512" s="19" t="n">
        <v>0.0040131341729408</v>
      </c>
    </row>
    <row r="2513" customFormat="false" ht="15" hidden="false" customHeight="false" outlineLevel="0" collapsed="false">
      <c r="A2513" s="17" t="n">
        <v>46293</v>
      </c>
      <c r="B2513" s="19" t="n">
        <v>-0.00761354201265208</v>
      </c>
    </row>
    <row r="2514" customFormat="false" ht="15" hidden="false" customHeight="false" outlineLevel="0" collapsed="false">
      <c r="A2514" s="17" t="n">
        <v>46294</v>
      </c>
      <c r="B2514" s="19" t="n">
        <v>-0.000585705340235165</v>
      </c>
    </row>
    <row r="2515" customFormat="false" ht="15" hidden="false" customHeight="false" outlineLevel="0" collapsed="false">
      <c r="A2515" s="17" t="n">
        <v>46295</v>
      </c>
      <c r="B2515" s="19" t="n">
        <v>-0.00309993452687929</v>
      </c>
    </row>
    <row r="2516" customFormat="false" ht="15" hidden="false" customHeight="false" outlineLevel="0" collapsed="false">
      <c r="A2516" s="17" t="n">
        <v>46296</v>
      </c>
      <c r="B2516" s="19" t="n">
        <v>0.000639069216734844</v>
      </c>
    </row>
    <row r="2517" customFormat="false" ht="15" hidden="false" customHeight="false" outlineLevel="0" collapsed="false">
      <c r="A2517" s="17" t="n">
        <v>46297</v>
      </c>
      <c r="B2517" s="19" t="n">
        <v>0.00234328429151631</v>
      </c>
    </row>
    <row r="2518" customFormat="false" ht="15" hidden="false" customHeight="false" outlineLevel="0" collapsed="false">
      <c r="A2518" s="17" t="n">
        <v>46300</v>
      </c>
      <c r="B2518" s="19" t="n">
        <v>0.00253303231714819</v>
      </c>
    </row>
    <row r="2519" customFormat="false" ht="15" hidden="false" customHeight="false" outlineLevel="0" collapsed="false">
      <c r="A2519" s="17" t="n">
        <v>46301</v>
      </c>
      <c r="B2519" s="19" t="n">
        <v>0.00301328660872113</v>
      </c>
    </row>
    <row r="2520" customFormat="false" ht="15" hidden="false" customHeight="false" outlineLevel="0" collapsed="false">
      <c r="A2520" s="17" t="n">
        <v>46302</v>
      </c>
      <c r="B2520" s="19" t="n">
        <v>-0.00456214440981628</v>
      </c>
    </row>
    <row r="2521" customFormat="false" ht="15" hidden="false" customHeight="false" outlineLevel="0" collapsed="false">
      <c r="A2521" s="17" t="n">
        <v>46303</v>
      </c>
      <c r="B2521" s="19" t="n">
        <v>-0.0012536181959022</v>
      </c>
    </row>
    <row r="2522" customFormat="false" ht="15" hidden="false" customHeight="false" outlineLevel="0" collapsed="false">
      <c r="A2522" s="17" t="n">
        <v>46304</v>
      </c>
      <c r="B2522" s="19" t="n">
        <v>0.00428277910302866</v>
      </c>
    </row>
    <row r="2523" customFormat="false" ht="15" hidden="false" customHeight="false" outlineLevel="0" collapsed="false">
      <c r="A2523" s="17" t="n">
        <v>46307</v>
      </c>
      <c r="B2523" s="19" t="n">
        <v>-0.00116644847938752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8" min="3" style="0" width="17"/>
  </cols>
  <sheetData>
    <row r="1" customFormat="false" ht="16.15" hidden="false" customHeight="false" outlineLevel="0" collapsed="false">
      <c r="A1" s="1" t="s">
        <v>164</v>
      </c>
    </row>
    <row r="3" customFormat="false" ht="45" hidden="false" customHeight="true" outlineLevel="0" collapsed="false">
      <c r="A3" s="5" t="s">
        <v>31</v>
      </c>
      <c r="B3" s="5" t="s">
        <v>104</v>
      </c>
      <c r="C3" s="5" t="s">
        <v>165</v>
      </c>
      <c r="D3" s="5" t="s">
        <v>166</v>
      </c>
      <c r="E3" s="5" t="s">
        <v>167</v>
      </c>
      <c r="F3" s="5" t="s">
        <v>168</v>
      </c>
      <c r="G3" s="5" t="s">
        <v>169</v>
      </c>
      <c r="H3" s="5" t="s">
        <v>170</v>
      </c>
    </row>
    <row r="4" customFormat="false" ht="15" hidden="false" customHeight="false" outlineLevel="0" collapsed="false">
      <c r="A4" s="0" t="s">
        <v>44</v>
      </c>
      <c r="B4" s="16" t="n">
        <f aca="false">Allocation!D6</f>
        <v>0.25</v>
      </c>
      <c r="C4" s="4" t="n">
        <v>-0.3</v>
      </c>
      <c r="D4" s="4" t="n">
        <v>-0.1</v>
      </c>
      <c r="E4" s="4" t="n">
        <v>-0.15</v>
      </c>
      <c r="F4" s="4" t="n">
        <v>-0.1</v>
      </c>
      <c r="G4" s="4" t="n">
        <v>-0.2</v>
      </c>
      <c r="H4" s="4" t="n">
        <v>-0.03</v>
      </c>
    </row>
    <row r="5" customFormat="false" ht="15" hidden="false" customHeight="false" outlineLevel="0" collapsed="false">
      <c r="A5" s="0" t="s">
        <v>47</v>
      </c>
      <c r="B5" s="16" t="n">
        <f aca="false">Allocation!D7</f>
        <v>0.1</v>
      </c>
      <c r="C5" s="4" t="n">
        <v>-0.3</v>
      </c>
      <c r="D5" s="4" t="n">
        <v>-0.1</v>
      </c>
      <c r="E5" s="4" t="n">
        <v>-0.18</v>
      </c>
      <c r="F5" s="4" t="n">
        <v>-0.15</v>
      </c>
      <c r="G5" s="4" t="n">
        <v>-0.22</v>
      </c>
      <c r="H5" s="4" t="n">
        <v>-0.12</v>
      </c>
    </row>
    <row r="6" customFormat="false" ht="15" hidden="false" customHeight="false" outlineLevel="0" collapsed="false">
      <c r="A6" s="0" t="s">
        <v>49</v>
      </c>
      <c r="B6" s="16" t="n">
        <f aca="false">Allocation!D8</f>
        <v>0.05</v>
      </c>
      <c r="C6" s="4" t="n">
        <v>-0.35</v>
      </c>
      <c r="D6" s="4" t="n">
        <v>-0.12</v>
      </c>
      <c r="E6" s="4" t="n">
        <v>-0.18</v>
      </c>
      <c r="F6" s="4" t="n">
        <v>-0.15</v>
      </c>
      <c r="G6" s="4" t="n">
        <v>-0.25</v>
      </c>
      <c r="H6" s="4" t="n">
        <v>-0.15</v>
      </c>
    </row>
    <row r="7" customFormat="false" ht="15" hidden="false" customHeight="false" outlineLevel="0" collapsed="false">
      <c r="A7" s="0" t="s">
        <v>51</v>
      </c>
      <c r="B7" s="16" t="n">
        <f aca="false">Allocation!D9</f>
        <v>0.03</v>
      </c>
      <c r="C7" s="4" t="n">
        <v>-0.3</v>
      </c>
      <c r="D7" s="4" t="n">
        <v>-0.08</v>
      </c>
      <c r="E7" s="4" t="n">
        <v>0.05</v>
      </c>
      <c r="F7" s="4" t="n">
        <v>-0.25</v>
      </c>
      <c r="G7" s="4" t="n">
        <v>-0.2</v>
      </c>
      <c r="H7" s="4" t="n">
        <v>-0.02</v>
      </c>
    </row>
    <row r="8" customFormat="false" ht="15" hidden="false" customHeight="false" outlineLevel="0" collapsed="false">
      <c r="A8" s="0" t="s">
        <v>53</v>
      </c>
      <c r="B8" s="16" t="n">
        <f aca="false">Allocation!D10</f>
        <v>0.02</v>
      </c>
      <c r="C8" s="4" t="n">
        <v>-0.3</v>
      </c>
      <c r="D8" s="4" t="n">
        <v>-0.08</v>
      </c>
      <c r="E8" s="4" t="n">
        <v>0</v>
      </c>
      <c r="F8" s="4" t="n">
        <v>-0.3</v>
      </c>
      <c r="G8" s="4" t="n">
        <v>-0.2</v>
      </c>
      <c r="H8" s="4" t="n">
        <v>-0.02</v>
      </c>
    </row>
    <row r="9" customFormat="false" ht="15" hidden="false" customHeight="false" outlineLevel="0" collapsed="false">
      <c r="A9" s="0" t="s">
        <v>55</v>
      </c>
      <c r="B9" s="16" t="n">
        <f aca="false">Allocation!D11</f>
        <v>0.03</v>
      </c>
      <c r="C9" s="4" t="n">
        <v>-0.3</v>
      </c>
      <c r="D9" s="4" t="n">
        <v>-0.15</v>
      </c>
      <c r="E9" s="4" t="n">
        <v>-0.15</v>
      </c>
      <c r="F9" s="4" t="n">
        <v>-0.08</v>
      </c>
      <c r="G9" s="4" t="n">
        <v>-0.2</v>
      </c>
      <c r="H9" s="4" t="n">
        <v>-0.03</v>
      </c>
    </row>
    <row r="10" customFormat="false" ht="15" hidden="false" customHeight="false" outlineLevel="0" collapsed="false">
      <c r="A10" s="0" t="s">
        <v>58</v>
      </c>
      <c r="B10" s="16" t="n">
        <f aca="false">Allocation!D12</f>
        <v>0.25</v>
      </c>
      <c r="C10" s="4" t="n">
        <v>0.04</v>
      </c>
      <c r="D10" s="4" t="n">
        <v>-0.09</v>
      </c>
      <c r="E10" s="4" t="n">
        <v>-0.05</v>
      </c>
      <c r="F10" s="4" t="n">
        <v>0.02</v>
      </c>
      <c r="G10" s="4" t="n">
        <v>0.08</v>
      </c>
      <c r="H10" s="4" t="n">
        <v>0.01</v>
      </c>
    </row>
    <row r="11" customFormat="false" ht="15" hidden="false" customHeight="false" outlineLevel="0" collapsed="false">
      <c r="A11" s="0" t="s">
        <v>61</v>
      </c>
      <c r="B11" s="16" t="n">
        <f aca="false">Allocation!D13</f>
        <v>0.12</v>
      </c>
      <c r="C11" s="4" t="n">
        <v>0.02</v>
      </c>
      <c r="D11" s="4" t="n">
        <v>-0.07</v>
      </c>
      <c r="E11" s="4" t="n">
        <v>0.02</v>
      </c>
      <c r="F11" s="4" t="n">
        <v>0.03</v>
      </c>
      <c r="G11" s="4" t="n">
        <v>0.04</v>
      </c>
      <c r="H11" s="4" t="n">
        <v>0</v>
      </c>
    </row>
    <row r="12" customFormat="false" ht="15" hidden="false" customHeight="false" outlineLevel="0" collapsed="false">
      <c r="A12" s="0" t="s">
        <v>63</v>
      </c>
      <c r="B12" s="16" t="n">
        <f aca="false">Allocation!D14</f>
        <v>0.07</v>
      </c>
      <c r="C12" s="4" t="n">
        <v>0.08</v>
      </c>
      <c r="D12" s="4" t="n">
        <v>-0.05</v>
      </c>
      <c r="E12" s="4" t="n">
        <v>0.15</v>
      </c>
      <c r="F12" s="4" t="n">
        <v>0.12</v>
      </c>
      <c r="G12" s="4" t="n">
        <v>0.1</v>
      </c>
      <c r="H12" s="4" t="n">
        <v>-0.08</v>
      </c>
    </row>
    <row r="13" customFormat="false" ht="15" hidden="false" customHeight="false" outlineLevel="0" collapsed="false">
      <c r="A13" s="0" t="s">
        <v>65</v>
      </c>
      <c r="B13" s="16" t="n">
        <f aca="false">Allocation!D15</f>
        <v>0.08</v>
      </c>
      <c r="C13" s="4" t="n">
        <v>0.01</v>
      </c>
      <c r="D13" s="4" t="n">
        <v>0.01</v>
      </c>
      <c r="E13" s="4" t="n">
        <v>0.01</v>
      </c>
      <c r="F13" s="4" t="n">
        <v>0.01</v>
      </c>
      <c r="G13" s="4" t="n">
        <v>0.01</v>
      </c>
      <c r="H13" s="4" t="n">
        <v>0.01</v>
      </c>
    </row>
    <row r="15" customFormat="false" ht="15" hidden="false" customHeight="false" outlineLevel="0" collapsed="false">
      <c r="A15" s="2" t="s">
        <v>171</v>
      </c>
      <c r="C15" s="16" t="n">
        <f aca="false">SUMPRODUCT($B$4:$B$13,C4:C13)</f>
        <v>-0.1277</v>
      </c>
      <c r="D15" s="16" t="n">
        <f aca="false">SUMPRODUCT($B$4:$B$13,D4:D13)</f>
        <v>-0.0831</v>
      </c>
      <c r="E15" s="16" t="n">
        <f aca="false">SUMPRODUCT($B$4:$B$13,E4:E13)</f>
        <v>-0.0663</v>
      </c>
      <c r="F15" s="16" t="n">
        <f aca="false">SUMPRODUCT($B$4:$B$13,F4:F13)</f>
        <v>-0.0456</v>
      </c>
      <c r="G15" s="16" t="n">
        <f aca="false">SUMPRODUCT($B$4:$B$13,G4:G13)</f>
        <v>-0.0679</v>
      </c>
      <c r="H15" s="16" t="n">
        <f aca="false">SUMPRODUCT($B$4:$B$13,H4:H13)</f>
        <v>-0.0312</v>
      </c>
    </row>
    <row r="16" customFormat="false" ht="15" hidden="false" customHeight="false" outlineLevel="0" collapsed="false">
      <c r="A16" s="2" t="s">
        <v>172</v>
      </c>
      <c r="C16" s="6" t="n">
        <f aca="false">C15*Allocation!$B$2</f>
        <v>-63850</v>
      </c>
      <c r="D16" s="6" t="n">
        <f aca="false">D15*Allocation!$B$2</f>
        <v>-41550</v>
      </c>
      <c r="E16" s="6" t="n">
        <f aca="false">E15*Allocation!$B$2</f>
        <v>-33150</v>
      </c>
      <c r="F16" s="6" t="n">
        <f aca="false">F15*Allocation!$B$2</f>
        <v>-22800</v>
      </c>
      <c r="G16" s="6" t="n">
        <f aca="false">G15*Allocation!$B$2</f>
        <v>-33950</v>
      </c>
      <c r="H16" s="6" t="n">
        <f aca="false">H15*Allocation!$B$2</f>
        <v>-15600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1" t="s">
        <v>173</v>
      </c>
    </row>
    <row r="3" customFormat="false" ht="15" hidden="false" customHeight="false" outlineLevel="0" collapsed="false">
      <c r="A3" s="0" t="s">
        <v>174</v>
      </c>
      <c r="B3" s="14" t="n">
        <f aca="false">PortfolioRisk!B26</f>
        <v>0.060937</v>
      </c>
    </row>
    <row r="4" customFormat="false" ht="15" hidden="false" customHeight="false" outlineLevel="0" collapsed="false">
      <c r="A4" s="0" t="s">
        <v>86</v>
      </c>
      <c r="B4" s="14" t="n">
        <f aca="false">PortfolioRisk!B28</f>
        <v>0.0832845648747931</v>
      </c>
    </row>
    <row r="5" customFormat="false" ht="15" hidden="false" customHeight="false" outlineLevel="0" collapsed="false">
      <c r="A5" s="0" t="s">
        <v>175</v>
      </c>
      <c r="B5" s="14" t="n">
        <f aca="false">B3-B4^2/2</f>
        <v>0.0574688406268082</v>
      </c>
    </row>
    <row r="6" customFormat="false" ht="15" hidden="false" customHeight="false" outlineLevel="0" collapsed="false">
      <c r="A6" s="0" t="s">
        <v>176</v>
      </c>
      <c r="B6" s="7" t="n">
        <v>0.005</v>
      </c>
    </row>
    <row r="7" customFormat="false" ht="15" hidden="false" customHeight="false" outlineLevel="0" collapsed="false">
      <c r="A7" s="0" t="s">
        <v>177</v>
      </c>
      <c r="B7" s="3" t="n">
        <v>15000</v>
      </c>
    </row>
    <row r="8" customFormat="false" ht="15" hidden="false" customHeight="false" outlineLevel="0" collapsed="false">
      <c r="A8" s="0" t="s">
        <v>178</v>
      </c>
      <c r="B8" s="14" t="n">
        <f aca="false">PortfolioRisk!B7</f>
        <v>0.0233</v>
      </c>
    </row>
    <row r="10" customFormat="false" ht="15" hidden="false" customHeight="false" outlineLevel="0" collapsed="false">
      <c r="A10" s="5" t="s">
        <v>179</v>
      </c>
      <c r="B10" s="5" t="s">
        <v>180</v>
      </c>
      <c r="C10" s="5" t="s">
        <v>181</v>
      </c>
      <c r="D10" s="5" t="s">
        <v>182</v>
      </c>
      <c r="E10" s="5" t="s">
        <v>183</v>
      </c>
      <c r="F10" s="5" t="s">
        <v>184</v>
      </c>
      <c r="G10" s="5" t="s">
        <v>185</v>
      </c>
    </row>
    <row r="11" customFormat="false" ht="15" hidden="false" customHeight="false" outlineLevel="0" collapsed="false">
      <c r="A11" s="0" t="n">
        <v>1</v>
      </c>
      <c r="B11" s="6" t="n">
        <f aca="false">Allocation!B2</f>
        <v>500000</v>
      </c>
      <c r="C11" s="6" t="n">
        <f aca="false">B11*$B$5</f>
        <v>28734.4203134041</v>
      </c>
      <c r="D11" s="6" t="n">
        <f aca="false">-B11*$B$6</f>
        <v>-2500</v>
      </c>
      <c r="E11" s="6" t="n">
        <f aca="false">-$B$7*(1+$B$8)^(A11-1)</f>
        <v>-15000</v>
      </c>
      <c r="F11" s="6" t="n">
        <f aca="false">SUM(B11:E11)</f>
        <v>511234.420313404</v>
      </c>
      <c r="G11" s="6" t="n">
        <f aca="false">F11/(1+$B$8)^A11</f>
        <v>499593.882843158</v>
      </c>
    </row>
    <row r="12" customFormat="false" ht="15" hidden="false" customHeight="false" outlineLevel="0" collapsed="false">
      <c r="A12" s="0" t="n">
        <v>2</v>
      </c>
      <c r="B12" s="6" t="n">
        <f aca="false">F11</f>
        <v>511234.420313404</v>
      </c>
      <c r="C12" s="6" t="n">
        <f aca="false">B12*$B$5</f>
        <v>29380.0494239297</v>
      </c>
      <c r="D12" s="6" t="n">
        <f aca="false">-B12*$B$6</f>
        <v>-2556.17210156702</v>
      </c>
      <c r="E12" s="6" t="n">
        <f aca="false">-$B$7*(1+$B$8)^(A12-1)</f>
        <v>-15349.5</v>
      </c>
      <c r="F12" s="6" t="n">
        <f aca="false">SUM(B12:E12)</f>
        <v>522708.797635767</v>
      </c>
      <c r="G12" s="6" t="n">
        <f aca="false">F12/(1+$B$8)^A12</f>
        <v>499176.18944609</v>
      </c>
    </row>
    <row r="13" customFormat="false" ht="15" hidden="false" customHeight="false" outlineLevel="0" collapsed="false">
      <c r="A13" s="0" t="n">
        <v>3</v>
      </c>
      <c r="B13" s="6" t="n">
        <f aca="false">F12</f>
        <v>522708.797635767</v>
      </c>
      <c r="C13" s="6" t="n">
        <f aca="false">B13*$B$5</f>
        <v>30039.4685855604</v>
      </c>
      <c r="D13" s="6" t="n">
        <f aca="false">-B13*$B$6</f>
        <v>-2613.54398817883</v>
      </c>
      <c r="E13" s="6" t="n">
        <f aca="false">-$B$7*(1+$B$8)^(A13-1)</f>
        <v>-15707.14335</v>
      </c>
      <c r="F13" s="6" t="n">
        <f aca="false">SUM(B13:E13)</f>
        <v>534427.578883148</v>
      </c>
      <c r="G13" s="6" t="n">
        <f aca="false">F13/(1+$B$8)^A13</f>
        <v>498746.589831755</v>
      </c>
    </row>
    <row r="14" customFormat="false" ht="15" hidden="false" customHeight="false" outlineLevel="0" collapsed="false">
      <c r="A14" s="0" t="n">
        <v>4</v>
      </c>
      <c r="B14" s="6" t="n">
        <f aca="false">F13</f>
        <v>534427.578883148</v>
      </c>
      <c r="C14" s="6" t="n">
        <f aca="false">B14*$B$5</f>
        <v>30712.9333574066</v>
      </c>
      <c r="D14" s="6" t="n">
        <f aca="false">-B14*$B$6</f>
        <v>-2672.13789441574</v>
      </c>
      <c r="E14" s="6" t="n">
        <f aca="false">-$B$7*(1+$B$8)^(A14-1)</f>
        <v>-16073.119790055</v>
      </c>
      <c r="F14" s="6" t="n">
        <f aca="false">SUM(B14:E14)</f>
        <v>546395.254556084</v>
      </c>
      <c r="G14" s="6" t="n">
        <f aca="false">F14/(1+$B$8)^A14</f>
        <v>498304.74461722</v>
      </c>
    </row>
    <row r="15" customFormat="false" ht="15" hidden="false" customHeight="false" outlineLevel="0" collapsed="false">
      <c r="A15" s="0" t="n">
        <v>5</v>
      </c>
      <c r="B15" s="6" t="n">
        <f aca="false">F14</f>
        <v>546395.254556084</v>
      </c>
      <c r="C15" s="6" t="n">
        <f aca="false">B15*$B$5</f>
        <v>31400.7018033279</v>
      </c>
      <c r="D15" s="6" t="n">
        <f aca="false">-B15*$B$6</f>
        <v>-2731.97627278042</v>
      </c>
      <c r="E15" s="6" t="n">
        <f aca="false">-$B$7*(1+$B$8)^(A15-1)</f>
        <v>-16447.6234811633</v>
      </c>
      <c r="F15" s="6" t="n">
        <f aca="false">SUM(B15:E15)</f>
        <v>558616.356605468</v>
      </c>
      <c r="G15" s="6" t="n">
        <f aca="false">F15/(1+$B$8)^A15</f>
        <v>497850.304745552</v>
      </c>
    </row>
    <row r="16" customFormat="false" ht="15" hidden="false" customHeight="false" outlineLevel="0" collapsed="false">
      <c r="A16" s="0" t="n">
        <v>6</v>
      </c>
      <c r="B16" s="6" t="n">
        <f aca="false">F15</f>
        <v>558616.356605468</v>
      </c>
      <c r="C16" s="6" t="n">
        <f aca="false">B16*$B$5</f>
        <v>32103.0343692879</v>
      </c>
      <c r="D16" s="6" t="n">
        <f aca="false">-B16*$B$6</f>
        <v>-2793.08178302734</v>
      </c>
      <c r="E16" s="6" t="n">
        <f aca="false">-$B$7*(1+$B$8)^(A16-1)</f>
        <v>-16830.8531082744</v>
      </c>
      <c r="F16" s="6" t="n">
        <f aca="false">SUM(B16:E16)</f>
        <v>571095.456083455</v>
      </c>
      <c r="G16" s="6" t="n">
        <f aca="false">F16/(1+$B$8)^A16</f>
        <v>497382.91121006</v>
      </c>
    </row>
    <row r="17" customFormat="false" ht="15" hidden="false" customHeight="false" outlineLevel="0" collapsed="false">
      <c r="A17" s="0" t="n">
        <v>7</v>
      </c>
      <c r="B17" s="6" t="n">
        <f aca="false">F16</f>
        <v>571095.456083455</v>
      </c>
      <c r="C17" s="6" t="n">
        <f aca="false">B17*$B$5</f>
        <v>32820.1937483544</v>
      </c>
      <c r="D17" s="6" t="n">
        <f aca="false">-B17*$B$6</f>
        <v>-2855.47728041727</v>
      </c>
      <c r="E17" s="6" t="n">
        <f aca="false">-$B$7*(1+$B$8)^(A17-1)</f>
        <v>-17223.0119856972</v>
      </c>
      <c r="F17" s="6" t="n">
        <f aca="false">SUM(B17:E17)</f>
        <v>583837.160565694</v>
      </c>
      <c r="G17" s="6" t="n">
        <f aca="false">F17/(1+$B$8)^A17</f>
        <v>496902.194770681</v>
      </c>
    </row>
    <row r="18" customFormat="false" ht="15" hidden="false" customHeight="false" outlineLevel="0" collapsed="false">
      <c r="A18" s="0" t="n">
        <v>8</v>
      </c>
      <c r="B18" s="6" t="n">
        <f aca="false">F17</f>
        <v>583837.160565694</v>
      </c>
      <c r="C18" s="6" t="n">
        <f aca="false">B18*$B$5</f>
        <v>33552.4447325581</v>
      </c>
      <c r="D18" s="6" t="n">
        <f aca="false">-B18*$B$6</f>
        <v>-2919.18580282847</v>
      </c>
      <c r="E18" s="6" t="n">
        <f aca="false">-$B$7*(1+$B$8)^(A18-1)</f>
        <v>-17624.3081649639</v>
      </c>
      <c r="F18" s="6" t="n">
        <f aca="false">SUM(B18:E18)</f>
        <v>596846.11133046</v>
      </c>
      <c r="G18" s="6" t="n">
        <f aca="false">F18/(1+$B$8)^A18</f>
        <v>496407.775662284</v>
      </c>
    </row>
    <row r="19" customFormat="false" ht="15" hidden="false" customHeight="false" outlineLevel="0" collapsed="false">
      <c r="A19" s="0" t="n">
        <v>9</v>
      </c>
      <c r="B19" s="6" t="n">
        <f aca="false">F18</f>
        <v>596846.11133046</v>
      </c>
      <c r="C19" s="6" t="n">
        <f aca="false">B19*$B$5</f>
        <v>34300.0540507804</v>
      </c>
      <c r="D19" s="6" t="n">
        <f aca="false">-B19*$B$6</f>
        <v>-2984.2305566523</v>
      </c>
      <c r="E19" s="6" t="n">
        <f aca="false">-$B$7*(1+$B$8)^(A19-1)</f>
        <v>-18034.9545452076</v>
      </c>
      <c r="F19" s="6" t="n">
        <f aca="false">SUM(B19:E19)</f>
        <v>610126.980279381</v>
      </c>
      <c r="G19" s="6" t="n">
        <f aca="false">F19/(1+$B$8)^A19</f>
        <v>495899.263294651</v>
      </c>
    </row>
    <row r="20" customFormat="false" ht="15" hidden="false" customHeight="false" outlineLevel="0" collapsed="false">
      <c r="A20" s="0" t="n">
        <v>10</v>
      </c>
      <c r="B20" s="6" t="n">
        <f aca="false">F19</f>
        <v>610126.980279381</v>
      </c>
      <c r="C20" s="6" t="n">
        <f aca="false">B20*$B$5</f>
        <v>35063.2901917915</v>
      </c>
      <c r="D20" s="6" t="n">
        <f aca="false">-B20*$B$6</f>
        <v>-3050.6349013969</v>
      </c>
      <c r="E20" s="6" t="n">
        <f aca="false">-$B$7*(1+$B$8)^(A20-1)</f>
        <v>-18455.1689861109</v>
      </c>
      <c r="F20" s="6" t="n">
        <f aca="false">SUM(B20:E20)</f>
        <v>623684.466583664</v>
      </c>
      <c r="G20" s="6" t="n">
        <f aca="false">F20/(1+$B$8)^A20</f>
        <v>495376.255943917</v>
      </c>
    </row>
    <row r="23" customFormat="false" ht="15" hidden="false" customHeight="false" outlineLevel="0" collapsed="false">
      <c r="A23" s="2" t="s">
        <v>186</v>
      </c>
    </row>
    <row r="24" customFormat="false" ht="28.35" hidden="false" customHeight="false" outlineLevel="0" collapsed="false">
      <c r="A24" s="5" t="s">
        <v>187</v>
      </c>
      <c r="B24" s="5" t="s">
        <v>188</v>
      </c>
      <c r="C24" s="5" t="s">
        <v>189</v>
      </c>
    </row>
    <row r="25" customFormat="false" ht="15" hidden="false" customHeight="false" outlineLevel="0" collapsed="false">
      <c r="A25" s="0" t="s">
        <v>190</v>
      </c>
      <c r="B25" s="6" t="n">
        <v>371798.191189018</v>
      </c>
      <c r="C25" s="6" t="n">
        <v>463234.10342767</v>
      </c>
    </row>
    <row r="26" customFormat="false" ht="15" hidden="false" customHeight="false" outlineLevel="0" collapsed="false">
      <c r="A26" s="0" t="s">
        <v>191</v>
      </c>
      <c r="B26" s="6" t="n">
        <v>508220.892587461</v>
      </c>
      <c r="C26" s="6" t="n">
        <v>619939.929732887</v>
      </c>
    </row>
    <row r="27" customFormat="false" ht="15" hidden="false" customHeight="false" outlineLevel="0" collapsed="false">
      <c r="A27" s="0" t="s">
        <v>192</v>
      </c>
      <c r="B27" s="6" t="n">
        <v>628817.699043655</v>
      </c>
      <c r="C27" s="6" t="n">
        <v>752823.590929416</v>
      </c>
    </row>
    <row r="28" customFormat="false" ht="15" hidden="false" customHeight="false" outlineLevel="0" collapsed="false">
      <c r="A28" s="0" t="s">
        <v>193</v>
      </c>
      <c r="B28" s="6" t="n">
        <v>765932.63247938</v>
      </c>
      <c r="C28" s="6" t="n">
        <v>890091.011656941</v>
      </c>
    </row>
    <row r="29" customFormat="false" ht="15" hidden="false" customHeight="false" outlineLevel="0" collapsed="false">
      <c r="A29" s="0" t="s">
        <v>194</v>
      </c>
      <c r="B29" s="6" t="n">
        <v>1027712.74067071</v>
      </c>
      <c r="C29" s="6" t="n">
        <v>1114327.30193675</v>
      </c>
    </row>
    <row r="30" customFormat="false" ht="15" hidden="false" customHeight="false" outlineLevel="0" collapsed="false">
      <c r="A30" s="0" t="s">
        <v>195</v>
      </c>
      <c r="B30" s="6" t="n">
        <v>499453.448199239</v>
      </c>
      <c r="C30" s="6" t="n">
        <v>597948.084074725</v>
      </c>
    </row>
    <row r="31" customFormat="false" ht="15" hidden="false" customHeight="false" outlineLevel="0" collapsed="false">
      <c r="A31" s="0" t="s">
        <v>196</v>
      </c>
      <c r="B31" s="16" t="n">
        <v>0.7643</v>
      </c>
      <c r="C31" s="16" t="n">
        <v>0.92</v>
      </c>
    </row>
    <row r="32" customFormat="false" ht="15" hidden="false" customHeight="false" outlineLevel="0" collapsed="false">
      <c r="A32" s="0" t="s">
        <v>197</v>
      </c>
      <c r="B32" s="16" t="n">
        <v>0.4977</v>
      </c>
      <c r="C32" s="16" t="n">
        <v>0.7333</v>
      </c>
    </row>
    <row r="33" customFormat="false" ht="15" hidden="false" customHeight="false" outlineLevel="0" collapsed="false">
      <c r="A33" s="0" t="s">
        <v>198</v>
      </c>
      <c r="B33" s="16" t="n">
        <v>0.0762</v>
      </c>
      <c r="C33" s="16" t="n">
        <v>0.0179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9"/>
  </cols>
  <sheetData>
    <row r="1" customFormat="false" ht="16.15" hidden="false" customHeight="false" outlineLevel="0" collapsed="false">
      <c r="A1" s="1" t="s">
        <v>199</v>
      </c>
    </row>
    <row r="3" customFormat="false" ht="28.35" hidden="false" customHeight="false" outlineLevel="0" collapsed="false">
      <c r="A3" s="5" t="s">
        <v>200</v>
      </c>
      <c r="B3" s="5" t="s">
        <v>201</v>
      </c>
      <c r="C3" s="5" t="s">
        <v>202</v>
      </c>
      <c r="D3" s="5" t="s">
        <v>203</v>
      </c>
      <c r="E3" s="5" t="s">
        <v>204</v>
      </c>
    </row>
    <row r="4" customFormat="false" ht="15" hidden="false" customHeight="false" outlineLevel="0" collapsed="false">
      <c r="A4" s="0" t="s">
        <v>205</v>
      </c>
      <c r="B4" s="23" t="n">
        <f aca="false">Allocation!F16</f>
        <v>0.000915</v>
      </c>
      <c r="C4" s="23" t="n">
        <v>0.000915</v>
      </c>
      <c r="D4" s="24" t="n">
        <f aca="false">B4-C4</f>
        <v>0</v>
      </c>
      <c r="E4" s="0" t="str">
        <f aca="false">IF(ABS(D4)&lt;0.0001,"PASS","CHECK")</f>
        <v>PASS</v>
      </c>
    </row>
    <row r="5" customFormat="false" ht="15" hidden="false" customHeight="false" outlineLevel="0" collapsed="false">
      <c r="A5" s="0" t="s">
        <v>206</v>
      </c>
      <c r="B5" s="23" t="n">
        <f aca="false">Allocation!H16</f>
        <v>0.028283</v>
      </c>
      <c r="C5" s="23" t="n">
        <v>0.028283</v>
      </c>
      <c r="D5" s="24" t="n">
        <f aca="false">B5-C5</f>
        <v>0</v>
      </c>
      <c r="E5" s="0" t="str">
        <f aca="false">IF(ABS(D5)&lt;0.0001,"PASS","CHECK")</f>
        <v>PASS</v>
      </c>
    </row>
    <row r="6" customFormat="false" ht="15" hidden="false" customHeight="false" outlineLevel="0" collapsed="false">
      <c r="A6" s="0" t="s">
        <v>207</v>
      </c>
      <c r="B6" s="23" t="n">
        <f aca="false">PortfolioRisk!B28</f>
        <v>0.0832845648747931</v>
      </c>
      <c r="C6" s="23" t="n">
        <v>0.0832845648747931</v>
      </c>
      <c r="D6" s="24" t="n">
        <f aca="false">B6-C6</f>
        <v>0</v>
      </c>
      <c r="E6" s="0" t="str">
        <f aca="false">IF(ABS(D6)&lt;0.0001,"PASS","CHECK")</f>
        <v>PASS</v>
      </c>
    </row>
    <row r="7" customFormat="false" ht="15" hidden="false" customHeight="false" outlineLevel="0" collapsed="false">
      <c r="A7" s="0" t="s">
        <v>112</v>
      </c>
      <c r="B7" s="23" t="n">
        <f aca="false">PortfolioRisk!B25</f>
        <v>0.0749492634223521</v>
      </c>
      <c r="C7" s="23" t="n">
        <v>0.0749492634223521</v>
      </c>
      <c r="D7" s="24" t="n">
        <f aca="false">B7-C7</f>
        <v>0</v>
      </c>
      <c r="E7" s="0" t="str">
        <f aca="false">IF(ABS(D7)&lt;0.0001,"PASS","CHECK")</f>
        <v>PASS</v>
      </c>
    </row>
    <row r="8" customFormat="false" ht="15" hidden="false" customHeight="false" outlineLevel="0" collapsed="false">
      <c r="A8" s="0" t="s">
        <v>113</v>
      </c>
      <c r="B8" s="23" t="n">
        <f aca="false">PortfolioRisk!B26</f>
        <v>0.060937</v>
      </c>
      <c r="C8" s="23" t="n">
        <v>0.060937</v>
      </c>
      <c r="D8" s="24" t="n">
        <f aca="false">B8-C8</f>
        <v>0</v>
      </c>
      <c r="E8" s="0" t="str">
        <f aca="false">IF(ABS(D8)&lt;0.0001,"PASS","CHECK")</f>
        <v>PASS</v>
      </c>
    </row>
    <row r="9" customFormat="false" ht="15" hidden="false" customHeight="false" outlineLevel="0" collapsed="false">
      <c r="A9" s="0" t="s">
        <v>208</v>
      </c>
      <c r="B9" s="23" t="n">
        <f aca="false">Backtest!Q4</f>
        <v>0.0753649295678034</v>
      </c>
      <c r="C9" s="23" t="n">
        <v>0.0753649327725208</v>
      </c>
      <c r="D9" s="24" t="n">
        <f aca="false">B9-C9</f>
        <v>-3.20471738035621E-009</v>
      </c>
      <c r="E9" s="0" t="str">
        <f aca="false">IF(ABS(D9)&lt;0.0001,"PASS","CHECK")</f>
        <v>PASS</v>
      </c>
    </row>
    <row r="10" customFormat="false" ht="15" hidden="false" customHeight="false" outlineLevel="0" collapsed="false">
      <c r="A10" s="0" t="s">
        <v>209</v>
      </c>
      <c r="B10" s="23" t="n">
        <f aca="false">Backtest!Q5</f>
        <v>0.0827851947468716</v>
      </c>
      <c r="C10" s="23" t="n">
        <v>0.082785194468791</v>
      </c>
      <c r="D10" s="24" t="n">
        <f aca="false">B10-C10</f>
        <v>2.78080586335605E-010</v>
      </c>
      <c r="E10" s="0" t="str">
        <f aca="false">IF(ABS(D10)&lt;0.0001,"PASS","CHECK")</f>
        <v>PASS</v>
      </c>
    </row>
    <row r="11" customFormat="false" ht="15" hidden="false" customHeight="false" outlineLevel="0" collapsed="false">
      <c r="A11" s="0" t="s">
        <v>210</v>
      </c>
      <c r="B11" s="23" t="n">
        <f aca="false">Backtest!Q6</f>
        <v>0.621195977822392</v>
      </c>
      <c r="C11" s="23" t="n">
        <v>0.621196027918354</v>
      </c>
      <c r="D11" s="24" t="n">
        <f aca="false">B11-C11</f>
        <v>-5.00959620453045E-008</v>
      </c>
      <c r="E11" s="0" t="str">
        <f aca="false">IF(ABS(D11)&lt;0.0001,"PASS","CHECK")</f>
        <v>PASS</v>
      </c>
    </row>
    <row r="12" customFormat="false" ht="15" hidden="false" customHeight="false" outlineLevel="0" collapsed="false">
      <c r="A12" s="0" t="s">
        <v>211</v>
      </c>
      <c r="B12" s="23" t="n">
        <f aca="false">Backtest!Q7</f>
        <v>0.922573731560112</v>
      </c>
      <c r="C12" s="23" t="n">
        <v>0.922573810346811</v>
      </c>
      <c r="D12" s="24" t="n">
        <f aca="false">B12-C12</f>
        <v>-7.87866988316566E-008</v>
      </c>
      <c r="E12" s="0" t="str">
        <f aca="false">IF(ABS(D12)&lt;0.0001,"PASS","CHECK")</f>
        <v>PASS</v>
      </c>
    </row>
    <row r="13" customFormat="false" ht="15" hidden="false" customHeight="false" outlineLevel="0" collapsed="false">
      <c r="A13" s="0" t="s">
        <v>212</v>
      </c>
      <c r="B13" s="23" t="n">
        <f aca="false">Backtest!Q8</f>
        <v>-0.170103148796578</v>
      </c>
      <c r="C13" s="23" t="n">
        <v>-0.170103140480035</v>
      </c>
      <c r="D13" s="24" t="n">
        <f aca="false">B13-C13</f>
        <v>-8.3165433428789E-009</v>
      </c>
      <c r="E13" s="0" t="str">
        <f aca="false">IF(ABS(D13)&lt;0.0001,"PASS","CHECK")</f>
        <v>PASS</v>
      </c>
    </row>
    <row r="14" customFormat="false" ht="15" hidden="false" customHeight="false" outlineLevel="0" collapsed="false">
      <c r="A14" s="0" t="s">
        <v>213</v>
      </c>
      <c r="B14" s="23" t="n">
        <f aca="false">Backtest!Q26</f>
        <v>-0.129668070961711</v>
      </c>
      <c r="C14" s="23" t="n">
        <v>-0.129668055102694</v>
      </c>
      <c r="D14" s="24" t="n">
        <f aca="false">B14-C14</f>
        <v>-1.5859017488129E-008</v>
      </c>
      <c r="E14" s="0" t="str">
        <f aca="false">IF(ABS(D14)&lt;0.0001,"PASS","CHECK")</f>
        <v>PASS</v>
      </c>
    </row>
    <row r="15" customFormat="false" ht="15" hidden="false" customHeight="false" outlineLevel="0" collapsed="false">
      <c r="A15" s="0" t="s">
        <v>214</v>
      </c>
      <c r="B15" s="23" t="n">
        <f aca="false">Backtest!R4</f>
        <v>0.0972945416024387</v>
      </c>
      <c r="C15" s="23" t="n">
        <v>0.0972945421148037</v>
      </c>
      <c r="D15" s="24" t="n">
        <f aca="false">B15-C15</f>
        <v>-5.12365039284646E-010</v>
      </c>
      <c r="E15" s="0" t="str">
        <f aca="false">IF(ABS(D15)&lt;0.0001,"PASS","CHECK")</f>
        <v>PASS</v>
      </c>
    </row>
    <row r="16" customFormat="false" ht="15" hidden="false" customHeight="false" outlineLevel="0" collapsed="false">
      <c r="A16" s="0" t="s">
        <v>215</v>
      </c>
      <c r="B16" s="23" t="n">
        <f aca="false">Backtest!R5</f>
        <v>0.102081824335855</v>
      </c>
      <c r="C16" s="23" t="n">
        <v>0.102081823522356</v>
      </c>
      <c r="D16" s="24" t="n">
        <f aca="false">B16-C16</f>
        <v>8.13498102214538E-010</v>
      </c>
      <c r="E16" s="0" t="str">
        <f aca="false">IF(ABS(D16)&lt;0.0001,"PASS","CHECK")</f>
        <v>PASS</v>
      </c>
    </row>
    <row r="17" customFormat="false" ht="15" hidden="false" customHeight="false" outlineLevel="0" collapsed="false">
      <c r="A17" s="0" t="s">
        <v>216</v>
      </c>
      <c r="B17" s="23" t="n">
        <f aca="false">Backtest!R6</f>
        <v>0.720167732877975</v>
      </c>
      <c r="C17" s="23" t="n">
        <v>0.720167752205045</v>
      </c>
      <c r="D17" s="24" t="n">
        <f aca="false">B17-C17</f>
        <v>-1.93270706105864E-008</v>
      </c>
      <c r="E17" s="0" t="str">
        <f aca="false">IF(ABS(D17)&lt;0.0001,"PASS","CHECK")</f>
        <v>PASS</v>
      </c>
    </row>
    <row r="18" customFormat="false" ht="15" hidden="false" customHeight="false" outlineLevel="0" collapsed="false">
      <c r="A18" s="0" t="s">
        <v>217</v>
      </c>
      <c r="B18" s="23" t="n">
        <f aca="false">Backtest!R7</f>
        <v>1.10497356212514</v>
      </c>
      <c r="C18" s="23" t="n">
        <v>1.10497359100487</v>
      </c>
      <c r="D18" s="24" t="n">
        <f aca="false">B18-C18</f>
        <v>-2.88797261660534E-008</v>
      </c>
      <c r="E18" s="0" t="str">
        <f aca="false">IF(ABS(D18)&lt;0.0001,"PASS","CHECK")</f>
        <v>PASS</v>
      </c>
    </row>
    <row r="19" customFormat="false" ht="15" hidden="false" customHeight="false" outlineLevel="0" collapsed="false">
      <c r="A19" s="0" t="s">
        <v>218</v>
      </c>
      <c r="B19" s="23" t="n">
        <f aca="false">Backtest!R8</f>
        <v>-0.200849832588891</v>
      </c>
      <c r="C19" s="23" t="n">
        <v>-0.200849830749026</v>
      </c>
      <c r="D19" s="24" t="n">
        <f aca="false">B19-C19</f>
        <v>-1.83986573198958E-009</v>
      </c>
      <c r="E19" s="0" t="str">
        <f aca="false">IF(ABS(D19)&lt;0.0001,"PASS","CHECK")</f>
        <v>PASS</v>
      </c>
    </row>
    <row r="20" customFormat="false" ht="15" hidden="false" customHeight="false" outlineLevel="0" collapsed="false">
      <c r="A20" s="0" t="s">
        <v>219</v>
      </c>
      <c r="B20" s="23" t="n">
        <f aca="false">Backtest!R26</f>
        <v>-0.159527210828857</v>
      </c>
      <c r="C20" s="23" t="n">
        <v>-0.159527209300624</v>
      </c>
      <c r="D20" s="24" t="n">
        <f aca="false">B20-C20</f>
        <v>-1.52823331767138E-009</v>
      </c>
      <c r="E20" s="0" t="str">
        <f aca="false">IF(ABS(D20)&lt;0.0001,"PASS","CHECK")</f>
        <v>PASS</v>
      </c>
    </row>
    <row r="21" customFormat="false" ht="15" hidden="false" customHeight="false" outlineLevel="0" collapsed="false">
      <c r="A21" s="0" t="s">
        <v>220</v>
      </c>
      <c r="B21" s="23" t="n">
        <f aca="false">Backtest!S4</f>
        <v>0.0795063003055367</v>
      </c>
      <c r="C21" s="23" t="n">
        <v>0.0795062970446541</v>
      </c>
      <c r="D21" s="24" t="n">
        <f aca="false">B21-C21</f>
        <v>3.26088267499358E-009</v>
      </c>
      <c r="E21" s="0" t="str">
        <f aca="false">IF(ABS(D21)&lt;0.0001,"PASS","CHECK")</f>
        <v>PASS</v>
      </c>
    </row>
    <row r="22" customFormat="false" ht="15" hidden="false" customHeight="false" outlineLevel="0" collapsed="false">
      <c r="A22" s="0" t="s">
        <v>221</v>
      </c>
      <c r="B22" s="23" t="n">
        <f aca="false">Backtest!S5</f>
        <v>0.100088971897121</v>
      </c>
      <c r="C22" s="23" t="n">
        <v>0.100088970384199</v>
      </c>
      <c r="D22" s="24" t="n">
        <f aca="false">B22-C22</f>
        <v>1.51292228744992E-009</v>
      </c>
      <c r="E22" s="0" t="str">
        <f aca="false">IF(ABS(D22)&lt;0.0001,"PASS","CHECK")</f>
        <v>PASS</v>
      </c>
    </row>
    <row r="23" customFormat="false" ht="15" hidden="false" customHeight="false" outlineLevel="0" collapsed="false">
      <c r="A23" s="0" t="s">
        <v>222</v>
      </c>
      <c r="B23" s="23" t="n">
        <f aca="false">Backtest!S6</f>
        <v>0.568242094228523</v>
      </c>
      <c r="C23" s="23" t="n">
        <v>0.568242080974378</v>
      </c>
      <c r="D23" s="24" t="n">
        <f aca="false">B23-C23</f>
        <v>1.32541450037493E-008</v>
      </c>
      <c r="E23" s="0" t="str">
        <f aca="false">IF(ABS(D23)&lt;0.0001,"PASS","CHECK")</f>
        <v>PASS</v>
      </c>
    </row>
    <row r="24" customFormat="false" ht="15" hidden="false" customHeight="false" outlineLevel="0" collapsed="false">
      <c r="A24" s="0" t="s">
        <v>223</v>
      </c>
      <c r="B24" s="23" t="n">
        <f aca="false">Backtest!S7</f>
        <v>0.836469256063774</v>
      </c>
      <c r="C24" s="23" t="n">
        <v>0.836469229274128</v>
      </c>
      <c r="D24" s="24" t="n">
        <f aca="false">B24-C24</f>
        <v>2.67896465011575E-008</v>
      </c>
      <c r="E24" s="0" t="str">
        <f aca="false">IF(ABS(D24)&lt;0.0001,"PASS","CHECK")</f>
        <v>PASS</v>
      </c>
    </row>
    <row r="25" customFormat="false" ht="15" hidden="false" customHeight="false" outlineLevel="0" collapsed="false">
      <c r="A25" s="0" t="s">
        <v>224</v>
      </c>
      <c r="B25" s="23" t="n">
        <f aca="false">Backtest!S8</f>
        <v>-0.207509105179106</v>
      </c>
      <c r="C25" s="23" t="n">
        <v>-0.207509105982592</v>
      </c>
      <c r="D25" s="24" t="n">
        <f aca="false">B25-C25</f>
        <v>8.03486110978469E-010</v>
      </c>
      <c r="E25" s="0" t="str">
        <f aca="false">IF(ABS(D25)&lt;0.0001,"PASS","CHECK")</f>
        <v>PASS</v>
      </c>
    </row>
    <row r="26" customFormat="false" ht="15" hidden="false" customHeight="false" outlineLevel="0" collapsed="false">
      <c r="A26" s="0" t="s">
        <v>225</v>
      </c>
      <c r="B26" s="23" t="n">
        <f aca="false">Backtest!S26</f>
        <v>-0.156459015841684</v>
      </c>
      <c r="C26" s="23" t="n">
        <v>-0.156459021454109</v>
      </c>
      <c r="D26" s="24" t="n">
        <f aca="false">B26-C26</f>
        <v>5.61242488594793E-009</v>
      </c>
      <c r="E26" s="0" t="str">
        <f aca="false">IF(ABS(D26)&lt;0.0001,"PASS","CHECK")</f>
        <v>PASS</v>
      </c>
    </row>
    <row r="27" customFormat="false" ht="15" hidden="false" customHeight="false" outlineLevel="0" collapsed="false">
      <c r="A27" s="0" t="s">
        <v>226</v>
      </c>
      <c r="B27" s="23" t="n">
        <f aca="false">VaR!E4</f>
        <v>0.00779709691329399</v>
      </c>
      <c r="C27" s="23" t="n">
        <v>0.0077970979365151</v>
      </c>
      <c r="D27" s="24" t="n">
        <f aca="false">B27-C27</f>
        <v>-1.02322110853703E-009</v>
      </c>
      <c r="E27" s="0" t="str">
        <f aca="false">IF(ABS(D27)&lt;0.0001,"PASS","CHECK")</f>
        <v>PASS</v>
      </c>
    </row>
    <row r="28" customFormat="false" ht="15" hidden="false" customHeight="false" outlineLevel="0" collapsed="false">
      <c r="A28" s="0" t="s">
        <v>227</v>
      </c>
      <c r="B28" s="23" t="n">
        <f aca="false">VaR!E5</f>
        <v>0.0128831666152768</v>
      </c>
      <c r="C28" s="23" t="n">
        <v>0.0128831662939267</v>
      </c>
      <c r="D28" s="24" t="n">
        <f aca="false">B28-C28</f>
        <v>3.21350153084654E-010</v>
      </c>
      <c r="E28" s="0" t="str">
        <f aca="false">IF(ABS(D28)&lt;0.0001,"PASS","CHECK")</f>
        <v>PASS</v>
      </c>
    </row>
    <row r="29" customFormat="false" ht="15" hidden="false" customHeight="false" outlineLevel="0" collapsed="false">
      <c r="A29" s="0" t="s">
        <v>228</v>
      </c>
      <c r="B29" s="23" t="n">
        <f aca="false">VaR!E7</f>
        <v>0.0320931105</v>
      </c>
      <c r="C29" s="23" t="n">
        <v>0.0320931090872985</v>
      </c>
      <c r="D29" s="24" t="n">
        <f aca="false">B29-C29</f>
        <v>1.41270151826634E-009</v>
      </c>
      <c r="E29" s="0" t="str">
        <f aca="false">IF(ABS(D29)&lt;0.0001,"PASS","CHECK")</f>
        <v>PASS</v>
      </c>
    </row>
    <row r="30" customFormat="false" ht="15" hidden="false" customHeight="false" outlineLevel="0" collapsed="false">
      <c r="A30" s="0" t="s">
        <v>229</v>
      </c>
      <c r="B30" s="23" t="n">
        <f aca="false">VaR!F9</f>
        <v>0.0492377639375975</v>
      </c>
      <c r="C30" s="23" t="n">
        <v>0.0492377635029783</v>
      </c>
      <c r="D30" s="24" t="n">
        <f aca="false">B30-C30</f>
        <v>4.34619257250191E-010</v>
      </c>
      <c r="E30" s="0" t="str">
        <f aca="false">IF(ABS(D30)&lt;0.0001,"PASS","CHECK")</f>
        <v>PASS</v>
      </c>
    </row>
    <row r="31" customFormat="false" ht="15" hidden="false" customHeight="false" outlineLevel="0" collapsed="false">
      <c r="A31" s="0" t="s">
        <v>230</v>
      </c>
      <c r="B31" s="23" t="n">
        <f aca="false">PortfolioRisk!B32</f>
        <v>0.0760539186033786</v>
      </c>
      <c r="C31" s="23" t="n">
        <v>0.0760539186033786</v>
      </c>
      <c r="D31" s="24" t="n">
        <f aca="false">B31-C31</f>
        <v>0</v>
      </c>
      <c r="E31" s="0" t="str">
        <f aca="false">IF(ABS(D31)&lt;0.0001,"PASS","CHECK")</f>
        <v>PASS</v>
      </c>
    </row>
    <row r="32" customFormat="false" ht="15" hidden="false" customHeight="false" outlineLevel="0" collapsed="false">
      <c r="A32" s="0" t="s">
        <v>231</v>
      </c>
      <c r="B32" s="23" t="n">
        <f aca="false">Scenarios!C15</f>
        <v>-0.1277</v>
      </c>
      <c r="C32" s="23" t="n">
        <v>-0.1277</v>
      </c>
      <c r="D32" s="24" t="n">
        <f aca="false">B32-C32</f>
        <v>0</v>
      </c>
      <c r="E32" s="0" t="str">
        <f aca="false">IF(ABS(D32)&lt;0.0001,"PASS","CHECK")</f>
        <v>PASS</v>
      </c>
    </row>
    <row r="33" customFormat="false" ht="15" hidden="false" customHeight="false" outlineLevel="0" collapsed="false">
      <c r="A33" s="0" t="s">
        <v>232</v>
      </c>
      <c r="B33" s="23" t="n">
        <f aca="false">Scenarios!D15</f>
        <v>-0.0831</v>
      </c>
      <c r="C33" s="23" t="n">
        <v>-0.0831</v>
      </c>
      <c r="D33" s="24" t="n">
        <f aca="false">B33-C33</f>
        <v>0</v>
      </c>
      <c r="E33" s="0" t="str">
        <f aca="false">IF(ABS(D33)&lt;0.0001,"PASS","CHECK")</f>
        <v>PASS</v>
      </c>
    </row>
    <row r="34" customFormat="false" ht="15" hidden="false" customHeight="false" outlineLevel="0" collapsed="false">
      <c r="A34" s="0" t="s">
        <v>233</v>
      </c>
      <c r="B34" s="23" t="n">
        <f aca="false">Scenarios!E15</f>
        <v>-0.0663</v>
      </c>
      <c r="C34" s="23" t="n">
        <v>-0.0663</v>
      </c>
      <c r="D34" s="24" t="n">
        <f aca="false">B34-C34</f>
        <v>0</v>
      </c>
      <c r="E34" s="0" t="str">
        <f aca="false">IF(ABS(D34)&lt;0.0001,"PASS","CHECK")</f>
        <v>PASS</v>
      </c>
    </row>
    <row r="35" customFormat="false" ht="15" hidden="false" customHeight="false" outlineLevel="0" collapsed="false">
      <c r="A35" s="0" t="s">
        <v>234</v>
      </c>
      <c r="B35" s="23" t="n">
        <f aca="false">Scenarios!F15</f>
        <v>-0.0456</v>
      </c>
      <c r="C35" s="23" t="n">
        <v>-0.0456</v>
      </c>
      <c r="D35" s="24" t="n">
        <f aca="false">B35-C35</f>
        <v>0</v>
      </c>
      <c r="E35" s="0" t="str">
        <f aca="false">IF(ABS(D35)&lt;0.0001,"PASS","CHECK")</f>
        <v>PASS</v>
      </c>
    </row>
    <row r="36" customFormat="false" ht="15" hidden="false" customHeight="false" outlineLevel="0" collapsed="false">
      <c r="A36" s="0" t="s">
        <v>235</v>
      </c>
      <c r="B36" s="23" t="n">
        <f aca="false">Scenarios!G15</f>
        <v>-0.0679</v>
      </c>
      <c r="C36" s="23" t="n">
        <v>-0.0679</v>
      </c>
      <c r="D36" s="24" t="n">
        <f aca="false">B36-C36</f>
        <v>0</v>
      </c>
      <c r="E36" s="0" t="str">
        <f aca="false">IF(ABS(D36)&lt;0.0001,"PASS","CHECK")</f>
        <v>PASS</v>
      </c>
    </row>
    <row r="37" customFormat="false" ht="15" hidden="false" customHeight="false" outlineLevel="0" collapsed="false">
      <c r="A37" s="0" t="s">
        <v>236</v>
      </c>
      <c r="B37" s="23" t="n">
        <f aca="false">Scenarios!H15</f>
        <v>-0.0312</v>
      </c>
      <c r="C37" s="23" t="n">
        <v>-0.0312</v>
      </c>
      <c r="D37" s="24" t="n">
        <f aca="false">B37-C37</f>
        <v>0</v>
      </c>
      <c r="E37" s="0" t="str">
        <f aca="false">IF(ABS(D37)&lt;0.0001,"PASS","CHECK")</f>
        <v>PASS</v>
      </c>
    </row>
    <row r="38" customFormat="false" ht="15" hidden="false" customHeight="false" outlineLevel="0" collapsed="false">
      <c r="A38" s="0" t="s">
        <v>237</v>
      </c>
      <c r="B38" s="23" t="n">
        <f aca="false">AssetStats!E4</f>
        <v>0.157733616782963</v>
      </c>
      <c r="C38" s="23" t="n">
        <v>0.157734</v>
      </c>
      <c r="D38" s="24" t="n">
        <f aca="false">B38-C38</f>
        <v>-3.83217037075445E-007</v>
      </c>
      <c r="E38" s="0" t="str">
        <f aca="false">IF(ABS(D38)&lt;0.0001,"PASS","CHECK")</f>
        <v>PASS</v>
      </c>
    </row>
    <row r="39" customFormat="false" ht="15" hidden="false" customHeight="false" outlineLevel="0" collapsed="false">
      <c r="A39" s="0" t="s">
        <v>238</v>
      </c>
      <c r="B39" s="23" t="n">
        <f aca="false">AssetStats!D4</f>
        <v>0.147007920969921</v>
      </c>
      <c r="C39" s="23" t="n">
        <v>0.147008</v>
      </c>
      <c r="D39" s="24" t="n">
        <f aca="false">B39-C39</f>
        <v>-7.90300788977572E-008</v>
      </c>
      <c r="E39" s="0" t="str">
        <f aca="false">IF(ABS(D39)&lt;0.0001,"PASS","CHECK")</f>
        <v>PASS</v>
      </c>
    </row>
    <row r="40" customFormat="false" ht="15" hidden="false" customHeight="false" outlineLevel="0" collapsed="false">
      <c r="A40" s="0" t="s">
        <v>239</v>
      </c>
      <c r="B40" s="23" t="n">
        <f aca="false">AssetStats!E5</f>
        <v>0.155415779259085</v>
      </c>
      <c r="C40" s="23" t="n">
        <v>0.155416</v>
      </c>
      <c r="D40" s="24" t="n">
        <f aca="false">B40-C40</f>
        <v>-2.20740914769202E-007</v>
      </c>
      <c r="E40" s="0" t="str">
        <f aca="false">IF(ABS(D40)&lt;0.0001,"PASS","CHECK")</f>
        <v>PASS</v>
      </c>
    </row>
    <row r="41" customFormat="false" ht="15" hidden="false" customHeight="false" outlineLevel="0" collapsed="false">
      <c r="A41" s="0" t="s">
        <v>240</v>
      </c>
      <c r="B41" s="23" t="n">
        <f aca="false">AssetStats!D5</f>
        <v>0.0973723334888246</v>
      </c>
      <c r="C41" s="23" t="n">
        <v>0.097372</v>
      </c>
      <c r="D41" s="24" t="n">
        <f aca="false">B41-C41</f>
        <v>3.33488824569295E-007</v>
      </c>
      <c r="E41" s="0" t="str">
        <f aca="false">IF(ABS(D41)&lt;0.0001,"PASS","CHECK")</f>
        <v>PASS</v>
      </c>
    </row>
    <row r="42" customFormat="false" ht="15" hidden="false" customHeight="false" outlineLevel="0" collapsed="false">
      <c r="A42" s="0" t="s">
        <v>241</v>
      </c>
      <c r="B42" s="23" t="n">
        <f aca="false">AssetStats!E6</f>
        <v>0.15518417406196</v>
      </c>
      <c r="C42" s="23" t="n">
        <v>0.155184</v>
      </c>
      <c r="D42" s="24" t="n">
        <f aca="false">B42-C42</f>
        <v>1.74061960178662E-007</v>
      </c>
      <c r="E42" s="0" t="str">
        <f aca="false">IF(ABS(D42)&lt;0.0001,"PASS","CHECK")</f>
        <v>PASS</v>
      </c>
    </row>
    <row r="43" customFormat="false" ht="15" hidden="false" customHeight="false" outlineLevel="0" collapsed="false">
      <c r="A43" s="0" t="s">
        <v>242</v>
      </c>
      <c r="B43" s="23" t="n">
        <f aca="false">AssetStats!D6</f>
        <v>0.075849095146364</v>
      </c>
      <c r="C43" s="23" t="n">
        <v>0.075849</v>
      </c>
      <c r="D43" s="24" t="n">
        <f aca="false">B43-C43</f>
        <v>9.5146363954246E-008</v>
      </c>
      <c r="E43" s="0" t="str">
        <f aca="false">IF(ABS(D43)&lt;0.0001,"PASS","CHECK")</f>
        <v>PASS</v>
      </c>
    </row>
    <row r="44" customFormat="false" ht="15" hidden="false" customHeight="false" outlineLevel="0" collapsed="false">
      <c r="A44" s="0" t="s">
        <v>243</v>
      </c>
      <c r="B44" s="23" t="n">
        <f aca="false">AssetStats!E7</f>
        <v>0.18025163022837</v>
      </c>
      <c r="C44" s="23" t="n">
        <v>0.180252</v>
      </c>
      <c r="D44" s="24" t="n">
        <f aca="false">B44-C44</f>
        <v>-3.69771630259752E-007</v>
      </c>
      <c r="E44" s="0" t="str">
        <f aca="false">IF(ABS(D44)&lt;0.0001,"PASS","CHECK")</f>
        <v>PASS</v>
      </c>
    </row>
    <row r="45" customFormat="false" ht="15" hidden="false" customHeight="false" outlineLevel="0" collapsed="false">
      <c r="A45" s="0" t="s">
        <v>244</v>
      </c>
      <c r="B45" s="23" t="n">
        <f aca="false">AssetStats!D7</f>
        <v>0.0835885191209336</v>
      </c>
      <c r="C45" s="23" t="n">
        <v>0.083589</v>
      </c>
      <c r="D45" s="24" t="n">
        <f aca="false">B45-C45</f>
        <v>-4.80879066427908E-007</v>
      </c>
      <c r="E45" s="0" t="str">
        <f aca="false">IF(ABS(D45)&lt;0.0001,"PASS","CHECK")</f>
        <v>PASS</v>
      </c>
    </row>
    <row r="46" customFormat="false" ht="15" hidden="false" customHeight="false" outlineLevel="0" collapsed="false">
      <c r="A46" s="0" t="s">
        <v>245</v>
      </c>
      <c r="B46" s="23" t="n">
        <f aca="false">AssetStats!E8</f>
        <v>0.17631771284086</v>
      </c>
      <c r="C46" s="23" t="n">
        <v>0.176318</v>
      </c>
      <c r="D46" s="24" t="n">
        <f aca="false">B46-C46</f>
        <v>-2.87159139966686E-007</v>
      </c>
      <c r="E46" s="0" t="str">
        <f aca="false">IF(ABS(D46)&lt;0.0001,"PASS","CHECK")</f>
        <v>PASS</v>
      </c>
    </row>
    <row r="47" customFormat="false" ht="15" hidden="false" customHeight="false" outlineLevel="0" collapsed="false">
      <c r="A47" s="0" t="s">
        <v>246</v>
      </c>
      <c r="B47" s="23" t="n">
        <f aca="false">AssetStats!D8</f>
        <v>0.0589072528983312</v>
      </c>
      <c r="C47" s="23" t="n">
        <v>0.058907</v>
      </c>
      <c r="D47" s="24" t="n">
        <f aca="false">B47-C47</f>
        <v>2.5289833120723E-007</v>
      </c>
      <c r="E47" s="0" t="str">
        <f aca="false">IF(ABS(D47)&lt;0.0001,"PASS","CHECK")</f>
        <v>PASS</v>
      </c>
    </row>
    <row r="48" customFormat="false" ht="15" hidden="false" customHeight="false" outlineLevel="0" collapsed="false">
      <c r="A48" s="0" t="s">
        <v>247</v>
      </c>
      <c r="B48" s="23" t="n">
        <f aca="false">AssetStats!E9</f>
        <v>0.177000423346103</v>
      </c>
      <c r="C48" s="23" t="n">
        <v>0.177</v>
      </c>
      <c r="D48" s="24" t="n">
        <f aca="false">B48-C48</f>
        <v>4.23346102562672E-007</v>
      </c>
      <c r="E48" s="0" t="str">
        <f aca="false">IF(ABS(D48)&lt;0.0001,"PASS","CHECK")</f>
        <v>PASS</v>
      </c>
    </row>
    <row r="49" customFormat="false" ht="15" hidden="false" customHeight="false" outlineLevel="0" collapsed="false">
      <c r="A49" s="0" t="s">
        <v>248</v>
      </c>
      <c r="B49" s="23" t="n">
        <f aca="false">AssetStats!D9</f>
        <v>0.0440440293617721</v>
      </c>
      <c r="C49" s="23" t="n">
        <v>0.044044</v>
      </c>
      <c r="D49" s="24" t="n">
        <f aca="false">B49-C49</f>
        <v>2.9361772097003E-008</v>
      </c>
      <c r="E49" s="0" t="str">
        <f aca="false">IF(ABS(D49)&lt;0.0001,"PASS","CHECK")</f>
        <v>PASS</v>
      </c>
    </row>
    <row r="50" customFormat="false" ht="15" hidden="false" customHeight="false" outlineLevel="0" collapsed="false">
      <c r="A50" s="0" t="s">
        <v>249</v>
      </c>
      <c r="B50" s="23" t="n">
        <f aca="false">AssetStats!E10</f>
        <v>0.0524933109808454</v>
      </c>
      <c r="C50" s="23" t="n">
        <v>0.052493</v>
      </c>
      <c r="D50" s="24" t="n">
        <f aca="false">B50-C50</f>
        <v>3.10980845387443E-007</v>
      </c>
      <c r="E50" s="0" t="str">
        <f aca="false">IF(ABS(D50)&lt;0.0001,"PASS","CHECK")</f>
        <v>PASS</v>
      </c>
    </row>
    <row r="51" customFormat="false" ht="15" hidden="false" customHeight="false" outlineLevel="0" collapsed="false">
      <c r="A51" s="0" t="s">
        <v>250</v>
      </c>
      <c r="B51" s="23" t="n">
        <f aca="false">AssetStats!D10</f>
        <v>0.0118006831390725</v>
      </c>
      <c r="C51" s="23" t="n">
        <v>0.011801</v>
      </c>
      <c r="D51" s="24" t="n">
        <f aca="false">B51-C51</f>
        <v>-3.16860927546472E-007</v>
      </c>
      <c r="E51" s="0" t="str">
        <f aca="false">IF(ABS(D51)&lt;0.0001,"PASS","CHECK")</f>
        <v>PASS</v>
      </c>
    </row>
    <row r="52" customFormat="false" ht="15" hidden="false" customHeight="false" outlineLevel="0" collapsed="false">
      <c r="A52" s="0" t="s">
        <v>251</v>
      </c>
      <c r="B52" s="23" t="n">
        <f aca="false">AssetStats!E11</f>
        <v>0.0503757200410267</v>
      </c>
      <c r="C52" s="23" t="n">
        <v>0.050376</v>
      </c>
      <c r="D52" s="24" t="n">
        <f aca="false">B52-C52</f>
        <v>-2.79958973344041E-007</v>
      </c>
      <c r="E52" s="0" t="str">
        <f aca="false">IF(ABS(D52)&lt;0.0001,"PASS","CHECK")</f>
        <v>PASS</v>
      </c>
    </row>
    <row r="53" customFormat="false" ht="15" hidden="false" customHeight="false" outlineLevel="0" collapsed="false">
      <c r="A53" s="0" t="s">
        <v>252</v>
      </c>
      <c r="B53" s="23" t="n">
        <f aca="false">AssetStats!D11</f>
        <v>0.0207360467883531</v>
      </c>
      <c r="C53" s="23" t="n">
        <v>0.020736</v>
      </c>
      <c r="D53" s="24" t="n">
        <f aca="false">B53-C53</f>
        <v>4.67883530565205E-008</v>
      </c>
      <c r="E53" s="0" t="str">
        <f aca="false">IF(ABS(D53)&lt;0.0001,"PASS","CHECK")</f>
        <v>PASS</v>
      </c>
    </row>
    <row r="54" customFormat="false" ht="15" hidden="false" customHeight="false" outlineLevel="0" collapsed="false">
      <c r="A54" s="0" t="s">
        <v>253</v>
      </c>
      <c r="B54" s="23" t="n">
        <f aca="false">AssetStats!E12</f>
        <v>0.154531193657385</v>
      </c>
      <c r="C54" s="23" t="n">
        <v>0.154531</v>
      </c>
      <c r="D54" s="24" t="n">
        <f aca="false">B54-C54</f>
        <v>1.93657384878199E-007</v>
      </c>
      <c r="E54" s="0" t="str">
        <f aca="false">IF(ABS(D54)&lt;0.0001,"PASS","CHECK")</f>
        <v>PASS</v>
      </c>
    </row>
    <row r="55" customFormat="false" ht="15" hidden="false" customHeight="false" outlineLevel="0" collapsed="false">
      <c r="A55" s="0" t="s">
        <v>254</v>
      </c>
      <c r="B55" s="23" t="n">
        <f aca="false">AssetStats!D12</f>
        <v>0.118963556448049</v>
      </c>
      <c r="C55" s="23" t="n">
        <v>0.118964</v>
      </c>
      <c r="D55" s="24" t="n">
        <f aca="false">B55-C55</f>
        <v>-4.43551950654597E-007</v>
      </c>
      <c r="E55" s="0" t="str">
        <f aca="false">IF(ABS(D55)&lt;0.0001,"PASS","CHECK")</f>
        <v>PASS</v>
      </c>
    </row>
    <row r="56" customFormat="false" ht="15" hidden="false" customHeight="false" outlineLevel="0" collapsed="false">
      <c r="A56" s="0" t="s">
        <v>255</v>
      </c>
      <c r="B56" s="23" t="n">
        <f aca="false">AssetStats!E13</f>
        <v>0.00556945634330302</v>
      </c>
      <c r="C56" s="23" t="n">
        <v>0.005569</v>
      </c>
      <c r="D56" s="24" t="n">
        <f aca="false">B56-C56</f>
        <v>4.56343303015597E-007</v>
      </c>
      <c r="E56" s="0" t="str">
        <f aca="false">IF(ABS(D56)&lt;0.0001,"PASS","CHECK")</f>
        <v>PASS</v>
      </c>
    </row>
    <row r="57" customFormat="false" ht="15" hidden="false" customHeight="false" outlineLevel="0" collapsed="false">
      <c r="A57" s="0" t="s">
        <v>256</v>
      </c>
      <c r="B57" s="23" t="n">
        <f aca="false">AssetStats!D13</f>
        <v>0.0229505614676409</v>
      </c>
      <c r="C57" s="23" t="n">
        <v>0.022951</v>
      </c>
      <c r="D57" s="24" t="n">
        <f aca="false">B57-C57</f>
        <v>-4.38532359148258E-007</v>
      </c>
      <c r="E57" s="0" t="str">
        <f aca="false">IF(ABS(D57)&lt;0.0001,"PASS","CHECK")</f>
        <v>PASS</v>
      </c>
    </row>
    <row r="58" customFormat="false" ht="15" hidden="false" customHeight="false" outlineLevel="0" collapsed="false">
      <c r="A58" s="0" t="s">
        <v>257</v>
      </c>
      <c r="B58" s="23" t="n">
        <f aca="false">Correlation!H4</f>
        <v>0.438135366133467</v>
      </c>
      <c r="C58" s="23" t="n">
        <v>0.4381</v>
      </c>
      <c r="D58" s="24" t="n">
        <f aca="false">B58-C58</f>
        <v>3.53661334674404E-005</v>
      </c>
      <c r="E58" s="0" t="str">
        <f aca="false">IF(ABS(D58)&lt;0.0001,"PASS","CHECK")</f>
        <v>PASS</v>
      </c>
    </row>
    <row r="59" customFormat="false" ht="15" hidden="false" customHeight="false" outlineLevel="0" collapsed="false">
      <c r="A59" s="0" t="s">
        <v>258</v>
      </c>
      <c r="B59" s="23" t="n">
        <f aca="false">Correlation!J4</f>
        <v>0.122602122309521</v>
      </c>
      <c r="C59" s="23" t="n">
        <v>0.1226</v>
      </c>
      <c r="D59" s="24" t="n">
        <f aca="false">B59-C59</f>
        <v>2.12230952081893E-006</v>
      </c>
      <c r="E59" s="0" t="str">
        <f aca="false">IF(ABS(D59)&lt;0.0001,"PASS","CHECK")</f>
        <v>PASS</v>
      </c>
    </row>
    <row r="61" customFormat="false" ht="15" hidden="false" customHeight="false" outlineLevel="0" collapsed="false">
      <c r="A61" s="2" t="s">
        <v>259</v>
      </c>
      <c r="B61" s="0" t="n">
        <f aca="false">COUNTIF(E4:E59,"PASS")</f>
        <v>56</v>
      </c>
      <c r="C61" s="0" t="n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50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5" t="s">
        <v>260</v>
      </c>
      <c r="B1" s="5" t="s">
        <v>261</v>
      </c>
      <c r="C1" s="5" t="s">
        <v>262</v>
      </c>
      <c r="D1" s="5" t="s">
        <v>263</v>
      </c>
      <c r="E1" s="5" t="s">
        <v>264</v>
      </c>
      <c r="F1" s="5" t="s">
        <v>265</v>
      </c>
      <c r="G1" s="5" t="s">
        <v>266</v>
      </c>
    </row>
    <row r="2" customFormat="false" ht="55.2" hidden="false" customHeight="false" outlineLevel="0" collapsed="false">
      <c r="A2" s="25" t="s">
        <v>267</v>
      </c>
      <c r="B2" s="25" t="s">
        <v>268</v>
      </c>
      <c r="C2" s="25" t="s">
        <v>269</v>
      </c>
      <c r="D2" s="25" t="s">
        <v>270</v>
      </c>
      <c r="E2" s="25" t="s">
        <v>271</v>
      </c>
      <c r="F2" s="25" t="s">
        <v>272</v>
      </c>
      <c r="G2" s="25" t="s">
        <v>273</v>
      </c>
    </row>
    <row r="3" customFormat="false" ht="41.75" hidden="false" customHeight="false" outlineLevel="0" collapsed="false">
      <c r="A3" s="25" t="s">
        <v>274</v>
      </c>
      <c r="B3" s="25" t="s">
        <v>275</v>
      </c>
      <c r="C3" s="25" t="s">
        <v>276</v>
      </c>
      <c r="D3" s="25" t="s">
        <v>277</v>
      </c>
      <c r="E3" s="25" t="s">
        <v>278</v>
      </c>
      <c r="F3" s="25" t="s">
        <v>279</v>
      </c>
      <c r="G3" s="25" t="s">
        <v>273</v>
      </c>
    </row>
    <row r="4" customFormat="false" ht="41.75" hidden="false" customHeight="false" outlineLevel="0" collapsed="false">
      <c r="A4" s="25" t="s">
        <v>280</v>
      </c>
      <c r="B4" s="25" t="s">
        <v>281</v>
      </c>
      <c r="C4" s="25" t="s">
        <v>282</v>
      </c>
      <c r="D4" s="25" t="s">
        <v>277</v>
      </c>
      <c r="E4" s="25" t="s">
        <v>278</v>
      </c>
      <c r="F4" s="25" t="s">
        <v>283</v>
      </c>
      <c r="G4" s="25" t="s">
        <v>273</v>
      </c>
    </row>
    <row r="5" customFormat="false" ht="68.65" hidden="false" customHeight="false" outlineLevel="0" collapsed="false">
      <c r="A5" s="25" t="s">
        <v>284</v>
      </c>
      <c r="B5" s="25" t="s">
        <v>285</v>
      </c>
      <c r="C5" s="25" t="s">
        <v>286</v>
      </c>
      <c r="D5" s="25" t="s">
        <v>287</v>
      </c>
      <c r="E5" s="25" t="s">
        <v>288</v>
      </c>
      <c r="F5" s="25" t="s">
        <v>289</v>
      </c>
      <c r="G5" s="25" t="s">
        <v>273</v>
      </c>
    </row>
    <row r="6" customFormat="false" ht="41.75" hidden="false" customHeight="false" outlineLevel="0" collapsed="false">
      <c r="A6" s="25" t="s">
        <v>290</v>
      </c>
      <c r="B6" s="25" t="s">
        <v>291</v>
      </c>
      <c r="C6" s="25" t="s">
        <v>292</v>
      </c>
      <c r="D6" s="25" t="s">
        <v>293</v>
      </c>
      <c r="E6" s="25" t="s">
        <v>294</v>
      </c>
      <c r="F6" s="25" t="s">
        <v>295</v>
      </c>
      <c r="G6" s="25" t="s">
        <v>273</v>
      </c>
    </row>
    <row r="7" customFormat="false" ht="28.35" hidden="false" customHeight="false" outlineLevel="0" collapsed="false">
      <c r="A7" s="25" t="s">
        <v>296</v>
      </c>
      <c r="B7" s="25" t="s">
        <v>297</v>
      </c>
      <c r="C7" s="25" t="s">
        <v>298</v>
      </c>
      <c r="D7" s="25" t="s">
        <v>299</v>
      </c>
      <c r="E7" s="25" t="s">
        <v>300</v>
      </c>
      <c r="F7" s="25" t="s">
        <v>301</v>
      </c>
      <c r="G7" s="25" t="s">
        <v>273</v>
      </c>
    </row>
    <row r="8" customFormat="false" ht="55.2" hidden="false" customHeight="false" outlineLevel="0" collapsed="false">
      <c r="A8" s="25" t="s">
        <v>302</v>
      </c>
      <c r="B8" s="25" t="s">
        <v>303</v>
      </c>
      <c r="C8" s="25" t="s">
        <v>304</v>
      </c>
      <c r="D8" s="25" t="s">
        <v>277</v>
      </c>
      <c r="E8" s="25" t="s">
        <v>305</v>
      </c>
      <c r="F8" s="25" t="s">
        <v>306</v>
      </c>
      <c r="G8" s="25" t="s">
        <v>273</v>
      </c>
    </row>
    <row r="9" customFormat="false" ht="28.35" hidden="false" customHeight="false" outlineLevel="0" collapsed="false">
      <c r="A9" s="25" t="s">
        <v>307</v>
      </c>
      <c r="B9" s="25" t="s">
        <v>308</v>
      </c>
      <c r="C9" s="25" t="s">
        <v>309</v>
      </c>
      <c r="D9" s="25" t="s">
        <v>277</v>
      </c>
      <c r="E9" s="25" t="s">
        <v>310</v>
      </c>
      <c r="F9" s="25" t="s">
        <v>311</v>
      </c>
      <c r="G9" s="25" t="s">
        <v>273</v>
      </c>
    </row>
    <row r="10" customFormat="false" ht="41.75" hidden="false" customHeight="false" outlineLevel="0" collapsed="false">
      <c r="A10" s="25" t="s">
        <v>312</v>
      </c>
      <c r="B10" s="25" t="s">
        <v>313</v>
      </c>
      <c r="C10" s="25" t="s">
        <v>314</v>
      </c>
      <c r="D10" s="25" t="s">
        <v>277</v>
      </c>
      <c r="E10" s="25" t="s">
        <v>315</v>
      </c>
      <c r="F10" s="25" t="s">
        <v>316</v>
      </c>
      <c r="G10" s="25" t="s">
        <v>273</v>
      </c>
    </row>
    <row r="11" customFormat="false" ht="41.75" hidden="false" customHeight="false" outlineLevel="0" collapsed="false">
      <c r="A11" s="25" t="s">
        <v>317</v>
      </c>
      <c r="B11" s="25" t="s">
        <v>318</v>
      </c>
      <c r="C11" s="25" t="s">
        <v>319</v>
      </c>
      <c r="D11" s="25" t="s">
        <v>277</v>
      </c>
      <c r="E11" s="25" t="s">
        <v>320</v>
      </c>
      <c r="F11" s="25" t="s">
        <v>321</v>
      </c>
      <c r="G11" s="25" t="s">
        <v>273</v>
      </c>
    </row>
    <row r="12" customFormat="false" ht="55.2" hidden="false" customHeight="false" outlineLevel="0" collapsed="false">
      <c r="A12" s="25" t="s">
        <v>322</v>
      </c>
      <c r="B12" s="25" t="s">
        <v>323</v>
      </c>
      <c r="C12" s="25" t="s">
        <v>324</v>
      </c>
      <c r="D12" s="25" t="s">
        <v>277</v>
      </c>
      <c r="E12" s="25" t="s">
        <v>325</v>
      </c>
      <c r="F12" s="25" t="s">
        <v>326</v>
      </c>
      <c r="G12" s="25" t="s">
        <v>273</v>
      </c>
    </row>
    <row r="13" customFormat="false" ht="41.75" hidden="false" customHeight="false" outlineLevel="0" collapsed="false">
      <c r="A13" s="25" t="s">
        <v>327</v>
      </c>
      <c r="B13" s="25" t="s">
        <v>328</v>
      </c>
      <c r="C13" s="25" t="s">
        <v>329</v>
      </c>
      <c r="D13" s="25" t="s">
        <v>330</v>
      </c>
      <c r="E13" s="25" t="s">
        <v>331</v>
      </c>
      <c r="F13" s="25" t="s">
        <v>332</v>
      </c>
      <c r="G13" s="25" t="s">
        <v>273</v>
      </c>
    </row>
    <row r="14" customFormat="false" ht="41.75" hidden="false" customHeight="false" outlineLevel="0" collapsed="false">
      <c r="A14" s="25" t="s">
        <v>333</v>
      </c>
      <c r="B14" s="25" t="s">
        <v>334</v>
      </c>
      <c r="C14" s="25" t="s">
        <v>335</v>
      </c>
      <c r="D14" s="25" t="s">
        <v>273</v>
      </c>
      <c r="E14" s="25" t="s">
        <v>336</v>
      </c>
      <c r="F14" s="25" t="s">
        <v>337</v>
      </c>
      <c r="G14" s="25" t="s">
        <v>273</v>
      </c>
    </row>
    <row r="15" customFormat="false" ht="15" hidden="false" customHeight="false" outlineLevel="0" collapsed="false">
      <c r="A15" s="25" t="s">
        <v>338</v>
      </c>
      <c r="B15" s="25" t="s">
        <v>339</v>
      </c>
      <c r="C15" s="25" t="s">
        <v>340</v>
      </c>
      <c r="D15" s="25" t="s">
        <v>273</v>
      </c>
      <c r="E15" s="25" t="s">
        <v>341</v>
      </c>
      <c r="F15" s="25" t="s">
        <v>342</v>
      </c>
      <c r="G15" s="25" t="s">
        <v>273</v>
      </c>
    </row>
    <row r="16" customFormat="false" ht="41.75" hidden="false" customHeight="false" outlineLevel="0" collapsed="false">
      <c r="A16" s="25" t="s">
        <v>343</v>
      </c>
      <c r="B16" s="25" t="s">
        <v>344</v>
      </c>
      <c r="C16" s="25" t="s">
        <v>345</v>
      </c>
      <c r="D16" s="25" t="s">
        <v>346</v>
      </c>
      <c r="E16" s="25" t="s">
        <v>347</v>
      </c>
      <c r="F16" s="25" t="s">
        <v>348</v>
      </c>
      <c r="G16" s="25" t="s">
        <v>273</v>
      </c>
    </row>
    <row r="17" customFormat="false" ht="41.75" hidden="false" customHeight="false" outlineLevel="0" collapsed="false">
      <c r="A17" s="25" t="s">
        <v>349</v>
      </c>
      <c r="B17" s="25" t="s">
        <v>350</v>
      </c>
      <c r="C17" s="25" t="s">
        <v>351</v>
      </c>
      <c r="D17" s="25" t="s">
        <v>352</v>
      </c>
      <c r="E17" s="25" t="s">
        <v>347</v>
      </c>
      <c r="F17" s="25" t="s">
        <v>353</v>
      </c>
      <c r="G17" s="25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2026-10-14T01:30:00Z</dcterms:created>
  <dc:creator>openpyxl</dc:creator>
  <dc:description/>
  <dc:language>en-US</dc:language>
  <cp:lastModifiedBy/>
  <dcterms:modified xsi:type="dcterms:W3CDTF">2026-10-14T01:30:00Z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
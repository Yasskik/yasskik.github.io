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Capex" sheetId="3" state="visible" r:id="rId5"/>
    <sheet name="CashFlow" sheetId="4" state="visible" r:id="rId6"/>
    <sheet name="Returns" sheetId="5" state="visible" r:id="rId7"/>
    <sheet name="Market" sheetId="6" state="visible" r:id="rId8"/>
    <sheet name="Analysis" sheetId="7" state="visible" r:id="rId9"/>
    <sheet name="Checks" sheetId="8" state="visible" r:id="rId10"/>
    <sheet name="Sources" sheetId="9" state="visible" r:id="rId11"/>
  </sheets>
  <definedNames>
    <definedName function="false" hidden="false" name="in_admin_fix" vbProcedure="false">Inputs!$B$32</definedName>
    <definedName function="false" hidden="false" name="in_availability" vbProcedure="false">Inputs!$B$10</definedName>
    <definedName function="false" hidden="false" name="in_bess_aug_cost" vbProcedure="false">Inputs!$B$78</definedName>
    <definedName function="false" hidden="false" name="in_bess_aug_yr" vbProcedure="false">Inputs!$B$77</definedName>
    <definedName function="false" hidden="false" name="in_bess_capex_kwh" vbProcedure="false">Inputs!$B$73</definedName>
    <definedName function="false" hidden="false" name="in_bess_charge_yr1" vbProcedure="false">Inputs!$B$84</definedName>
    <definedName function="false" hidden="false" name="in_bess_dis_ratio" vbProcedure="false">Inputs!$B$85</definedName>
    <definedName function="false" hidden="false" name="in_bess_fade" vbProcedure="false">Inputs!$B$75</definedName>
    <definedName function="false" hidden="false" name="in_bess_mw" vbProcedure="false">Inputs!$B$71</definedName>
    <definedName function="false" hidden="false" name="in_bess_mwh" vbProcedure="false">Inputs!$B$72</definedName>
    <definedName function="false" hidden="false" name="in_bess_om_pct" vbProcedure="false">Inputs!$B$76</definedName>
    <definedName function="false" hidden="false" name="in_bess_on" vbProcedure="false">Inputs!$B$89</definedName>
    <definedName function="false" hidden="false" name="in_bess_rte" vbProcedure="false">Inputs!$B$74</definedName>
    <definedName function="false" hidden="false" name="in_beta" vbProcedure="false">Inputs!$B$66</definedName>
    <definedName function="false" hidden="false" name="in_capex_mult" vbProcedure="false">Inputs!$B$87</definedName>
    <definedName function="false" hidden="false" name="in_cit" vbProcedure="false">Inputs!$B$54</definedName>
    <definedName function="false" hidden="false" name="in_clip_loss" vbProcedure="false">Inputs!$B$83</definedName>
    <definedName function="false" hidden="false" name="in_cod_year" vbProcedure="false">Inputs!$B$81</definedName>
    <definedName function="false" hidden="false" name="in_collection" vbProcedure="false">Inputs!$B$39</definedName>
    <definedName function="false" hidden="false" name="in_contingency" vbProcedure="false">Inputs!$B$26</definedName>
    <definedName function="false" hidden="false" name="in_crp_syria" vbProcedure="false">Inputs!$B$68</definedName>
    <definedName function="false" hidden="false" name="in_c_civil" vbProcedure="false">Inputs!$B$20</definedName>
    <definedName function="false" hidden="false" name="in_c_dev_lump" vbProcedure="false">Inputs!$B$24</definedName>
    <definedName function="false" hidden="false" name="in_c_elec_bos" vbProcedure="false">Inputs!$B$18</definedName>
    <definedName function="false" hidden="false" name="in_c_install" vbProcedure="false">Inputs!$B$21</definedName>
    <definedName function="false" hidden="false" name="in_c_inverters" vbProcedure="false">Inputs!$B$16</definedName>
    <definedName function="false" hidden="false" name="in_c_logistics" vbProcedure="false">Inputs!$B$15</definedName>
    <definedName function="false" hidden="false" name="in_c_modules" vbProcedure="false">Inputs!$B$14</definedName>
    <definedName function="false" hidden="false" name="in_c_security_scada" vbProcedure="false">Inputs!$B$22</definedName>
    <definedName function="false" hidden="false" name="in_c_structure" vbProcedure="false">Inputs!$B$17</definedName>
    <definedName function="false" hidden="false" name="in_c_substation_lump" vbProcedure="false">Inputs!$B$19</definedName>
    <definedName function="false" hidden="false" name="in_debt_margin" vbProcedure="false">Inputs!$B$62</definedName>
    <definedName function="false" hidden="false" name="in_deg_annual" vbProcedure="false">Inputs!$B$12</definedName>
    <definedName function="false" hidden="false" name="in_deg_y1" vbProcedure="false">Inputs!$B$11</definedName>
    <definedName function="false" hidden="false" name="in_dep_years" vbProcedure="false">Inputs!$B$57</definedName>
    <definedName function="false" hidden="false" name="in_dfi_ef_diesel" vbProcedure="false">Inputs!$B$51</definedName>
    <definedName function="false" hidden="false" name="in_diesel_ind_syp" vbProcedure="false">Inputs!$B$47</definedName>
    <definedName function="false" hidden="false" name="in_diesel_std_syp" vbProcedure="false">Inputs!$B$48</definedName>
    <definedName function="false" hidden="false" name="in_dscr_lockup" vbProcedure="false">Inputs!$B$69</definedName>
    <definedName function="false" hidden="false" name="in_dscr_target_min" vbProcedure="false">Inputs!$B$70</definedName>
    <definedName function="false" hidden="false" name="in_epc_margin" vbProcedure="false">Inputs!$B$23</definedName>
    <definedName function="false" hidden="false" name="in_fit_154_bess" vbProcedure="false">Inputs!$B$53</definedName>
    <definedName function="false" hidden="false" name="in_fit_154_pv" vbProcedure="false">Inputs!$B$52</definedName>
    <definedName function="false" hidden="false" name="in_fx_haircut" vbProcedure="false">Inputs!$B$40</definedName>
    <definedName function="false" hidden="false" name="in_fx_official" vbProcedure="false">Inputs!$B$45</definedName>
    <definedName function="false" hidden="false" name="in_fx_parallel" vbProcedure="false">Inputs!$B$46</definedName>
    <definedName function="false" hidden="false" name="in_gearing" vbProcedure="false">Inputs!$B$58</definedName>
    <definedName function="false" hidden="false" name="in_genset_nonfuel" vbProcedure="false">Inputs!$B$50</definedName>
    <definedName function="false" hidden="false" name="in_genset_sfc" vbProcedure="false">Inputs!$B$49</definedName>
    <definedName function="false" hidden="false" name="in_grid_heavy_syp" vbProcedure="false">Inputs!$B$44</definedName>
    <definedName function="false" hidden="false" name="in_grid_ind_syp" vbProcedure="false">Inputs!$B$43</definedName>
    <definedName function="false" hidden="false" name="in_gsa_pvout" vbProcedure="false">Inputs!$B$6</definedName>
    <definedName function="false" hidden="false" name="in_idc_factor" vbProcedure="false">Inputs!$B$65</definedName>
    <definedName function="false" hidden="false" name="in_insurance_pct" vbProcedure="false">Inputs!$B$28</definedName>
    <definedName function="false" hidden="false" name="in_inverter_repl_cost" vbProcedure="false">Inputs!$B$36</definedName>
    <definedName function="false" hidden="false" name="in_inverter_repl_yr" vbProcedure="false">Inputs!$B$35</definedName>
    <definedName function="false" hidden="false" name="in_land_ha_per_mwp" vbProcedure="false">Inputs!$B$13</definedName>
    <definedName function="false" hidden="false" name="in_land_lease_per_ha" vbProcedure="false">Inputs!$B$31</definedName>
    <definedName function="false" hidden="false" name="in_lat" vbProcedure="false">Inputs!$B$2</definedName>
    <definedName function="false" hidden="false" name="in_life" vbProcedure="false">Inputs!$B$80</definedName>
    <definedName function="false" hidden="false" name="in_lon" vbProcedure="false">Inputs!$B$3</definedName>
    <definedName function="false" hidden="false" name="in_mature_erp" vbProcedure="false">Inputs!$B$67</definedName>
    <definedName function="false" hidden="false" name="in_mc_runs" vbProcedure="false">Inputs!$B$82</definedName>
    <definedName function="false" hidden="false" name="in_model_uncert" vbProcedure="false">Inputs!$B$7</definedName>
    <definedName function="false" hidden="false" name="in_mwac" vbProcedure="false">Inputs!$B$9</definedName>
    <definedName function="false" hidden="false" name="in_mwp" vbProcedure="false">Inputs!$B$8</definedName>
    <definedName function="false" hidden="false" name="in_om_per_kwp" vbProcedure="false">Inputs!$B$27</definedName>
    <definedName function="false" hidden="false" name="in_opex_esc" vbProcedure="false">Inputs!$B$34</definedName>
    <definedName function="false" hidden="false" name="in_opex_mult" vbProcedure="false">Inputs!$B$88</definedName>
    <definedName function="false" hidden="false" name="in_owners_pct" vbProcedure="false">Inputs!$B$25</definedName>
    <definedName function="false" hidden="false" name="in_ppa_day" vbProcedure="false">Inputs!$B$37</definedName>
    <definedName function="false" hidden="false" name="in_ppa_esc" vbProcedure="false">Inputs!$B$38</definedName>
    <definedName function="false" hidden="false" name="in_ppa_evening" vbProcedure="false">Inputs!$B$79</definedName>
    <definedName function="false" hidden="false" name="in_ppa_term" vbProcedure="false">Inputs!$B$42</definedName>
    <definedName function="false" hidden="false" name="in_pri_pct_debt" vbProcedure="false">Inputs!$B$29</definedName>
    <definedName function="false" hidden="false" name="in_pvgis_sd_y" vbProcedure="false">Inputs!$B$5</definedName>
    <definedName function="false" hidden="false" name="in_pvgis_yield" vbProcedure="false">Inputs!$B$4</definedName>
    <definedName function="false" hidden="false" name="in_receivable_days" vbProcedure="false">Inputs!$B$41</definedName>
    <definedName function="false" hidden="false" name="in_security_fix" vbProcedure="false">Inputs!$B$30</definedName>
    <definedName function="false" hidden="false" name="in_sofr" vbProcedure="false">Inputs!$B$61</definedName>
    <definedName function="false" hidden="false" name="in_tax_relief" vbProcedure="false">Inputs!$B$55</definedName>
    <definedName function="false" hidden="false" name="in_tax_relief_years" vbProcedure="false">Inputs!$B$56</definedName>
    <definedName function="false" hidden="false" name="in_tenor" vbProcedure="false">Inputs!$B$63</definedName>
    <definedName function="false" hidden="false" name="in_upfront_fee" vbProcedure="false">Inputs!$B$64</definedName>
    <definedName function="false" hidden="false" name="in_ust10" vbProcedure="false">Inputs!$B$60</definedName>
    <definedName function="false" hidden="false" name="in_ust7" vbProcedure="false">Inputs!$B$59</definedName>
    <definedName function="false" hidden="false" name="in_wheeling" vbProcedure="false">Inputs!$B$33</definedName>
    <definedName function="false" hidden="false" name="in_yield_mult" vbProcedure="false">Inputs!$B$86</definedName>
    <definedName function="false" hidden="false" name="x_avg_dscr" vbProcedure="false">Returns!$B$13</definedName>
    <definedName function="false" hidden="false" name="x_capex" vbProcedure="false">Capex!$B$20</definedName>
    <definedName function="false" hidden="false" name="x_capex_bess" vbProcedure="false">Capex!$B$19</definedName>
    <definedName function="false" hidden="false" name="x_capex_kwac" vbProcedure="false">Capex!$B$32</definedName>
    <definedName function="false" hidden="false" name="x_capex_kwp" vbProcedure="false">Capex!$B$31</definedName>
    <definedName function="false" hidden="false" name="x_capex_pv" vbProcedure="false">Capex!$B$18</definedName>
    <definedName function="false" hidden="false" name="x_cf1" vbProcedure="false">Returns!$B$21</definedName>
    <definedName function="false" hidden="false" name="x_debt" vbProcedure="false">Capex!$B$24</definedName>
    <definedName function="false" hidden="false" name="x_e1" vbProcedure="false">Returns!$B$15</definedName>
    <definedName function="false" hidden="false" name="x_ebitda1" vbProcedure="false">Returns!$B$18</definedName>
    <definedName function="false" hidden="false" name="x_equity" vbProcedure="false">Capex!$B$28</definedName>
    <definedName function="false" hidden="false" name="x_etot" vbProcedure="false">Returns!$B$19</definedName>
    <definedName function="false" hidden="false" name="x_fee" vbProcedure="false">Capex!$B$25</definedName>
    <definedName function="false" hidden="false" name="x_funding" vbProcedure="false">Capex!$B$27</definedName>
    <definedName function="false" hidden="false" name="x_gear" vbProcedure="false">Capex!$B$29</definedName>
    <definedName function="false" hidden="false" name="x_idc" vbProcedure="false">Capex!$B$26</definedName>
    <definedName function="false" hidden="false" name="x_irr" vbProcedure="false">Returns!$B$5</definedName>
    <definedName function="false" hidden="false" name="x_irr_eq" vbProcedure="false">Returns!$B$7</definedName>
    <definedName function="false" hidden="false" name="x_kd" vbProcedure="false">Capex!$B$23</definedName>
    <definedName function="false" hidden="false" name="x_ke" vbProcedure="false">Returns!$B$2</definedName>
    <definedName function="false" hidden="false" name="x_lcoe" vbProcedure="false">Returns!$B$10</definedName>
    <definedName function="false" hidden="false" name="x_lcoe8" vbProcedure="false">Returns!$B$11</definedName>
    <definedName function="false" hidden="false" name="x_llcr" vbProcedure="false">Returns!$B$14</definedName>
    <definedName function="false" hidden="false" name="x_min_dscr" vbProcedure="false">Returns!$B$12</definedName>
    <definedName function="false" hidden="false" name="x_npv" vbProcedure="false">Returns!$B$4</definedName>
    <definedName function="false" hidden="false" name="x_npv_eq" vbProcedure="false">Returns!$B$6</definedName>
    <definedName function="false" hidden="false" name="x_opex1" vbProcedure="false">Returns!$B$17</definedName>
    <definedName function="false" hidden="false" name="x_overall" vbProcedure="false">Checks!$E$31</definedName>
    <definedName function="false" hidden="false" name="x_pb" vbProcedure="false">Returns!$B$8</definedName>
    <definedName function="false" hidden="false" name="x_pb_eq" vbProcedure="false">Returns!$B$9</definedName>
    <definedName function="false" hidden="false" name="x_pmt" vbProcedure="false">Capex!$B$30</definedName>
    <definedName function="false" hidden="false" name="x_rev1" vbProcedure="false">Returns!$B$16</definedName>
    <definedName function="false" hidden="false" name="x_sy1" vbProcedure="false">Returns!$B$20</definedName>
    <definedName function="false" hidden="false" name="x_wacc" vbProcedure="false">Returns!$B$3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<sst xmlns="http://schemas.openxmlformats.org/spreadsheetml/2006/main" count="1006" uniqueCount="751">
  <si>
    <t xml:space="preserve">Sheikh Najjar Solar PV Project: Financial Model</t>
  </si>
  <si>
    <t xml:space="preserve">Fictional sponsor: Halab Solar Development Company (SPV). Prepared by Yamen Agha as a portfolio feasibility study.</t>
  </si>
  <si>
    <t xml:space="preserve">All figures in nominal US dollars unless stated. Annual model, operating years 1-25 after construction (year 0).</t>
  </si>
  <si>
    <t xml:space="preserve">Sheet guide</t>
  </si>
  <si>
    <t xml:space="preserve">Inputs      Every assumption with unit, basis (Sourced / Derived / Assumption) and source ID (see Sources sheet).</t>
  </si>
  <si>
    <t xml:space="preserve">Capex       Capital cost build-up and funding plan (debt sizing, fees, interest during construction).</t>
  </si>
  <si>
    <t xml:space="preserve">CashFlow    25-year operating, tax, debt and cash-flow waterfall. All cells are live formulas.</t>
  </si>
  <si>
    <t xml:space="preserve">Returns     NPV, IRR (project and equity), payback, LCOE, DSCR and LLCR.</t>
  </si>
  <si>
    <t xml:space="preserve">Market      Grid tariff and diesel cost comparators; blended cost by hours of grid supply.</t>
  </si>
  <si>
    <t xml:space="preserve">Analysis    Scenario, tornado and Monte Carlo results exported from the Python scripts (static values).</t>
  </si>
  <si>
    <t xml:space="preserve">Checks      Integrity checks and reconciliation of this workbook against the Python reference model.</t>
  </si>
  <si>
    <t xml:space="preserve">Sources     Dated source list.</t>
  </si>
  <si>
    <t xml:space="preserve">Colour code: blue text on cream fill = input; black text = formula. Change inputs only on the Inputs sheet.</t>
  </si>
  <si>
    <t xml:space="preserve">Scenario levers on Inputs: yield_mult, capex_mult, opex_mult and bess_on (0 = PV only, 1 = PV + BESS).</t>
  </si>
  <si>
    <t xml:space="preserve">Name</t>
  </si>
  <si>
    <t xml:space="preserve">Value</t>
  </si>
  <si>
    <t xml:space="preserve">Unit</t>
  </si>
  <si>
    <t xml:space="preserve">Basis</t>
  </si>
  <si>
    <t xml:space="preserve">Source</t>
  </si>
  <si>
    <t xml:space="preserve">Note</t>
  </si>
  <si>
    <t xml:space="preserve">lat</t>
  </si>
  <si>
    <t xml:space="preserve">deg N</t>
  </si>
  <si>
    <t xml:space="preserve">Assumption</t>
  </si>
  <si>
    <t xml:space="preserve">S33</t>
  </si>
  <si>
    <t xml:space="preserve">Indicative site inside/adjacent to Sheikh Najjar Industrial City; existing PV plant reported at 36.2701N, 37.2569E</t>
  </si>
  <si>
    <t xml:space="preserve">lon</t>
  </si>
  <si>
    <t xml:space="preserve">deg E</t>
  </si>
  <si>
    <t xml:space="preserve">Indicative coordinates used for all resource queries</t>
  </si>
  <si>
    <t xml:space="preserve">pvgis_yield</t>
  </si>
  <si>
    <t xml:space="preserve">kWh/kWp/yr</t>
  </si>
  <si>
    <t xml:space="preserve">Sourced</t>
  </si>
  <si>
    <t xml:space="preserve">S01</t>
  </si>
  <si>
    <t xml:space="preserve">PVGIS 5.3, SARAH3 2005-2023, fixed 31 deg optimal tilt, 14% system loss</t>
  </si>
  <si>
    <t xml:space="preserve">pvgis_sd_y</t>
  </si>
  <si>
    <t xml:space="preserve">Year-to-year standard deviation reported by PVGIS</t>
  </si>
  <si>
    <t xml:space="preserve">gsa_pvout</t>
  </si>
  <si>
    <t xml:space="preserve">S04</t>
  </si>
  <si>
    <t xml:space="preserve">Global Solar Atlas PVOUT (Solargis model), cross-check only</t>
  </si>
  <si>
    <t xml:space="preserve">model_uncert</t>
  </si>
  <si>
    <t xml:space="preserve">fraction (1 sigma)</t>
  </si>
  <si>
    <t xml:space="preserve">Resource and modelling uncertainty used for P90 and Monte Carlo</t>
  </si>
  <si>
    <t xml:space="preserve">mwp</t>
  </si>
  <si>
    <t xml:space="preserve">MWp DC</t>
  </si>
  <si>
    <t xml:space="preserve">About a third of base-case estimated daytime zone demand (range 21-54%) so output is fully absorbed</t>
  </si>
  <si>
    <t xml:space="preserve">mwac</t>
  </si>
  <si>
    <t xml:space="preserve">MWac</t>
  </si>
  <si>
    <t xml:space="preserve">DC/AC ratio 1.20</t>
  </si>
  <si>
    <t xml:space="preserve">availability</t>
  </si>
  <si>
    <t xml:space="preserve">fraction</t>
  </si>
  <si>
    <t xml:space="preserve">Plant and offtaker-network availability; below the 99%+ typical in stable markets</t>
  </si>
  <si>
    <t xml:space="preserve">deg_y1</t>
  </si>
  <si>
    <t xml:space="preserve">S09</t>
  </si>
  <si>
    <t xml:space="preserve">Jinko Tiger Neo warranty: max 1.0% in year 1</t>
  </si>
  <si>
    <t xml:space="preserve">deg_annual</t>
  </si>
  <si>
    <t xml:space="preserve">fraction/yr</t>
  </si>
  <si>
    <t xml:space="preserve">Jinko Tiger Neo warranty: 0.4%/yr years 2-30</t>
  </si>
  <si>
    <t xml:space="preserve">land_ha_per_mwp</t>
  </si>
  <si>
    <t xml:space="preserve">ha/MWp</t>
  </si>
  <si>
    <t xml:space="preserve">S32</t>
  </si>
  <si>
    <t xml:space="preserve">Existing Sheikh Najjar plant: 33 MW on 35 ha (1.06 ha/MW); 1.3 used for wider row spacing</t>
  </si>
  <si>
    <t xml:space="preserve">c_modules</t>
  </si>
  <si>
    <t xml:space="preserve">USD/Wp</t>
  </si>
  <si>
    <t xml:space="preserve">S05</t>
  </si>
  <si>
    <t xml:space="preserve">InfoLink 30 Sep 2026: TOPCon module average, non-China markets, before tax</t>
  </si>
  <si>
    <t xml:space="preserve">c_logistics</t>
  </si>
  <si>
    <t xml:space="preserve">Sea freight, insurance, Latakia port handling and inland haulage to Aleppo (about 10% of FOB)</t>
  </si>
  <si>
    <t xml:space="preserve">c_inverters</t>
  </si>
  <si>
    <t xml:space="preserve">S08</t>
  </si>
  <si>
    <t xml:space="preserve">PowerChina 2024 bids averaged 0.013 USD/W in China; export, delivery and spares margin applied</t>
  </si>
  <si>
    <t xml:space="preserve">c_structure</t>
  </si>
  <si>
    <t xml:space="preserve">Fixed-tilt galvanised steel mounting incl. piling</t>
  </si>
  <si>
    <t xml:space="preserve">c_elec_bos</t>
  </si>
  <si>
    <t xml:space="preserve">DC/AC cabling, combiner boxes, earthing, MV collection</t>
  </si>
  <si>
    <t xml:space="preserve">c_substation_lump</t>
  </si>
  <si>
    <t xml:space="preserve">USD</t>
  </si>
  <si>
    <t xml:space="preserve">S37</t>
  </si>
  <si>
    <t xml:space="preserve">Step-up substation and connection into the zone 20 kV network; zone already has 60 MW and 30 MW substations added in 2023</t>
  </si>
  <si>
    <t xml:space="preserve">c_civil</t>
  </si>
  <si>
    <t xml:space="preserve">Site preparation, roads, drainage, fencing</t>
  </si>
  <si>
    <t xml:space="preserve">c_install</t>
  </si>
  <si>
    <t xml:space="preserve">Mechanical and electrical installation labour</t>
  </si>
  <si>
    <t xml:space="preserve">c_security_scada</t>
  </si>
  <si>
    <t xml:space="preserve">CCTV, intrusion detection, SCADA, weather station</t>
  </si>
  <si>
    <t xml:space="preserve">epc_margin</t>
  </si>
  <si>
    <t xml:space="preserve">fraction of hard cost</t>
  </si>
  <si>
    <t xml:space="preserve">EPC overhead and margin</t>
  </si>
  <si>
    <t xml:space="preserve">c_dev_lump</t>
  </si>
  <si>
    <t xml:space="preserve">Feasibility, ESIA, legal, PPA negotiation, permits</t>
  </si>
  <si>
    <t xml:space="preserve">owners_pct</t>
  </si>
  <si>
    <t xml:space="preserve">fraction of EPC</t>
  </si>
  <si>
    <t xml:space="preserve">Owner's engineer and construction all-risk insurance</t>
  </si>
  <si>
    <t xml:space="preserve">contingency</t>
  </si>
  <si>
    <t xml:space="preserve">Elevated for country risk and logistics</t>
  </si>
  <si>
    <t xml:space="preserve">om_per_kwp</t>
  </si>
  <si>
    <t xml:space="preserve">USD/kWp/yr</t>
  </si>
  <si>
    <t xml:space="preserve">S10</t>
  </si>
  <si>
    <t xml:space="preserve">O&amp;M contract incl. cleaning; NREL ATB 2024 benchmark is 22 USD/kWac/yr all-in fixed O&amp;M</t>
  </si>
  <si>
    <t xml:space="preserve">insurance_pct</t>
  </si>
  <si>
    <t xml:space="preserve">fraction of capex/yr</t>
  </si>
  <si>
    <t xml:space="preserve">Property and business interruption insurance</t>
  </si>
  <si>
    <t xml:space="preserve">pri_pct_debt</t>
  </si>
  <si>
    <t xml:space="preserve">fraction of initial debt/yr</t>
  </si>
  <si>
    <t xml:space="preserve">Political risk insurance premium on senior debt</t>
  </si>
  <si>
    <t xml:space="preserve">security_fix</t>
  </si>
  <si>
    <t xml:space="preserve">USD/yr</t>
  </si>
  <si>
    <t xml:space="preserve">Guarding and patrols</t>
  </si>
  <si>
    <t xml:space="preserve">land_lease_per_ha</t>
  </si>
  <si>
    <t xml:space="preserve">USD/ha/yr</t>
  </si>
  <si>
    <t xml:space="preserve">Lease of industrial-city land</t>
  </si>
  <si>
    <t xml:space="preserve">admin_fix</t>
  </si>
  <si>
    <t xml:space="preserve">SPV management, audit, billing, metering</t>
  </si>
  <si>
    <t xml:space="preserve">wheeling</t>
  </si>
  <si>
    <t xml:space="preserve">USD/kWh</t>
  </si>
  <si>
    <t xml:space="preserve">S18</t>
  </si>
  <si>
    <t xml:space="preserve">Network use/metering charge for delivery over the zone distribution network</t>
  </si>
  <si>
    <t xml:space="preserve">opex_esc</t>
  </si>
  <si>
    <t xml:space="preserve">Opex escalation in USD</t>
  </si>
  <si>
    <t xml:space="preserve">inverter_repl_yr</t>
  </si>
  <si>
    <t xml:space="preserve">operating year</t>
  </si>
  <si>
    <t xml:space="preserve">Inverter replacement</t>
  </si>
  <si>
    <t xml:space="preserve">inverter_repl_cost</t>
  </si>
  <si>
    <t xml:space="preserve">Replacement cost in nominal USD</t>
  </si>
  <si>
    <t xml:space="preserve">ppa_day</t>
  </si>
  <si>
    <t xml:space="preserve">S11</t>
  </si>
  <si>
    <t xml:space="preserve">USD-indexed PPA invoiced in SYP at the CBS official rate; 28% below the 17 SYP/kWh industrial grid tariff</t>
  </si>
  <si>
    <t xml:space="preserve">ppa_esc</t>
  </si>
  <si>
    <t xml:space="preserve">Annual PPA indexation</t>
  </si>
  <si>
    <t xml:space="preserve">collection</t>
  </si>
  <si>
    <t xml:space="preserve">Share of invoices collected (bad debt 3%)</t>
  </si>
  <si>
    <t xml:space="preserve">fx_haircut</t>
  </si>
  <si>
    <t xml:space="preserve">S15</t>
  </si>
  <si>
    <t xml:space="preserve">Expected loss converting SYP receipts to USD; official-parallel gap was 12.8% on 13 Oct 2026</t>
  </si>
  <si>
    <t xml:space="preserve">receivable_days</t>
  </si>
  <si>
    <t xml:space="preserve">days</t>
  </si>
  <si>
    <t xml:space="preserve">Debtor days for working capital</t>
  </si>
  <si>
    <t xml:space="preserve">ppa_term</t>
  </si>
  <si>
    <t xml:space="preserve">years</t>
  </si>
  <si>
    <t xml:space="preserve">Matches modelled life</t>
  </si>
  <si>
    <t xml:space="preserve">grid_ind_syp</t>
  </si>
  <si>
    <t xml:space="preserve">new SYP/kWh</t>
  </si>
  <si>
    <t xml:space="preserve">Decision 687: 1,700 old SYP/kWh for rationing-exempt industrial users; 100:1 redenomination</t>
  </si>
  <si>
    <t xml:space="preserve">grid_heavy_syp</t>
  </si>
  <si>
    <t xml:space="preserve">Smelting/rolling and high-consumption users: 1,800 old SYP/kWh</t>
  </si>
  <si>
    <t xml:space="preserve">fx_official</t>
  </si>
  <si>
    <t xml:space="preserve">new SYP/USD</t>
  </si>
  <si>
    <t xml:space="preserve">CBS official selling rate, 13 Oct 2026</t>
  </si>
  <si>
    <t xml:space="preserve">fx_parallel</t>
  </si>
  <si>
    <t xml:space="preserve">Parallel market close, 13 Oct 2026</t>
  </si>
  <si>
    <t xml:space="preserve">diesel_ind_syp</t>
  </si>
  <si>
    <t xml:space="preserve">new SYP/L</t>
  </si>
  <si>
    <t xml:space="preserve">S13</t>
  </si>
  <si>
    <t xml:space="preserve">Second-grade diesel for productive sectors, announced 17 Sep 2026</t>
  </si>
  <si>
    <t xml:space="preserve">diesel_std_syp</t>
  </si>
  <si>
    <t xml:space="preserve">S12</t>
  </si>
  <si>
    <t xml:space="preserve">Standard diesel from 13 Sep 2026</t>
  </si>
  <si>
    <t xml:space="preserve">genset_sfc</t>
  </si>
  <si>
    <t xml:space="preserve">L/kWh</t>
  </si>
  <si>
    <t xml:space="preserve">S30</t>
  </si>
  <si>
    <t xml:space="preserve">Part-load factory gensets; MTU 20V4000 datasheet 202 g/kWh at full load (about 0.24 L/kWh)</t>
  </si>
  <si>
    <t xml:space="preserve">genset_nonfuel</t>
  </si>
  <si>
    <t xml:space="preserve">Genset maintenance, lubricants and capital recovery</t>
  </si>
  <si>
    <t xml:space="preserve">dfi_ef_diesel</t>
  </si>
  <si>
    <t xml:space="preserve">kg CO2/L</t>
  </si>
  <si>
    <t xml:space="preserve">Derived</t>
  </si>
  <si>
    <t xml:space="preserve">S31</t>
  </si>
  <si>
    <t xml:space="preserve">EPA 2025: 10.21 kg CO2/gal / 3.785 L/gal</t>
  </si>
  <si>
    <t xml:space="preserve">fit_154_pv</t>
  </si>
  <si>
    <t xml:space="preserve">S20</t>
  </si>
  <si>
    <t xml:space="preserve">Decision 154 (3 Jul 2025) feed-in tariff, standalone solar 2-10 MW</t>
  </si>
  <si>
    <t xml:space="preserve">fit_154_bess</t>
  </si>
  <si>
    <t xml:space="preserve">Decision 154 feed-in tariff, solar with 4-hour storage</t>
  </si>
  <si>
    <t xml:space="preserve">cit</t>
  </si>
  <si>
    <t xml:space="preserve">S26</t>
  </si>
  <si>
    <t xml:space="preserve">Draft unified income tax law: 10% for priority sectors (enactment not confirmed; treated as assumption-sensitive)</t>
  </si>
  <si>
    <t xml:space="preserve">tax_relief</t>
  </si>
  <si>
    <t xml:space="preserve">S25</t>
  </si>
  <si>
    <t xml:space="preserve">Investment Law 18/2021 as amended by Decree 114/2025: up to 75% income-tax reduction for 10 years</t>
  </si>
  <si>
    <t xml:space="preserve">tax_relief_years</t>
  </si>
  <si>
    <t xml:space="preserve">dep_years</t>
  </si>
  <si>
    <t xml:space="preserve">Straight-line tax and book depreciation</t>
  </si>
  <si>
    <t xml:space="preserve">gearing</t>
  </si>
  <si>
    <t xml:space="preserve">fraction of funding</t>
  </si>
  <si>
    <t xml:space="preserve">Senior debt share; DFI-style lenders in frontier markets</t>
  </si>
  <si>
    <t xml:space="preserve">ust7</t>
  </si>
  <si>
    <t xml:space="preserve">S28</t>
  </si>
  <si>
    <t xml:space="preserve">7-year US Treasury par yield, 13 Oct 2026</t>
  </si>
  <si>
    <t xml:space="preserve">ust10</t>
  </si>
  <si>
    <t xml:space="preserve">10-year US Treasury par yield, 13 Oct 2026</t>
  </si>
  <si>
    <t xml:space="preserve">sofr</t>
  </si>
  <si>
    <t xml:space="preserve">S29</t>
  </si>
  <si>
    <t xml:space="preserve">SOFR, 9 Oct 2026 (reference only)</t>
  </si>
  <si>
    <t xml:space="preserve">debt_margin</t>
  </si>
  <si>
    <t xml:space="preserve">Credit margin over the 7-year Treasury for a DFI-led loan with political risk cover</t>
  </si>
  <si>
    <t xml:space="preserve">tenor</t>
  </si>
  <si>
    <t xml:space="preserve">years after COD</t>
  </si>
  <si>
    <t xml:space="preserve">Annuity repayment</t>
  </si>
  <si>
    <t xml:space="preserve">upfront_fee</t>
  </si>
  <si>
    <t xml:space="preserve">fraction of debt</t>
  </si>
  <si>
    <t xml:space="preserve">Arrangement and commitment fees</t>
  </si>
  <si>
    <t xml:space="preserve">idc_factor</t>
  </si>
  <si>
    <t xml:space="preserve">Average debt outstanding during a 12-month construction period</t>
  </si>
  <si>
    <t xml:space="preserve">beta</t>
  </si>
  <si>
    <t xml:space="preserve">Levered equity beta for a contracted solar SPV</t>
  </si>
  <si>
    <t xml:space="preserve">mature_erp</t>
  </si>
  <si>
    <t xml:space="preserve">S27</t>
  </si>
  <si>
    <t xml:space="preserve">Damodaran mature-market ERP, Jan 2026</t>
  </si>
  <si>
    <t xml:space="preserve">crp_syria</t>
  </si>
  <si>
    <t xml:space="preserve">Damodaran Syria country risk premium (NR), Jan 2026</t>
  </si>
  <si>
    <t xml:space="preserve">dscr_lockup</t>
  </si>
  <si>
    <t xml:space="preserve">x</t>
  </si>
  <si>
    <t xml:space="preserve">Distribution lock-up covenant</t>
  </si>
  <si>
    <t xml:space="preserve">dscr_target_min</t>
  </si>
  <si>
    <t xml:space="preserve">Minimum DSCR lenders would typically require for a merchant-exposed frontier project</t>
  </si>
  <si>
    <t xml:space="preserve">bess_mw</t>
  </si>
  <si>
    <t xml:space="preserve">MW</t>
  </si>
  <si>
    <t xml:space="preserve">Option: 4-hour battery charged from PV</t>
  </si>
  <si>
    <t xml:space="preserve">bess_mwh</t>
  </si>
  <si>
    <t xml:space="preserve">MWh</t>
  </si>
  <si>
    <t xml:space="preserve">bess_capex_kwh</t>
  </si>
  <si>
    <t xml:space="preserve">S07</t>
  </si>
  <si>
    <t xml:space="preserve">BNEF 2025 global turnkey 117 USD/kWh; Ember all-in 125 USD/kWh ex China/US; +40 for Syria logistics and risk</t>
  </si>
  <si>
    <t xml:space="preserve">bess_rte</t>
  </si>
  <si>
    <t xml:space="preserve">AC round-trip efficiency, LFP</t>
  </si>
  <si>
    <t xml:space="preserve">bess_fade</t>
  </si>
  <si>
    <t xml:space="preserve">Usable capacity fade</t>
  </si>
  <si>
    <t xml:space="preserve">bess_om_pct</t>
  </si>
  <si>
    <t xml:space="preserve">fraction of BESS capex/yr</t>
  </si>
  <si>
    <t xml:space="preserve">bess_aug_yr</t>
  </si>
  <si>
    <t xml:space="preserve">Augmentation to restore capacity</t>
  </si>
  <si>
    <t xml:space="preserve">bess_aug_cost</t>
  </si>
  <si>
    <t xml:space="preserve">Nominal augmentation cost</t>
  </si>
  <si>
    <t xml:space="preserve">ppa_evening</t>
  </si>
  <si>
    <t xml:space="preserve">Evening (18:00-22:00) firm tariff; still well below diesel cost</t>
  </si>
  <si>
    <t xml:space="preserve">life</t>
  </si>
  <si>
    <t xml:space="preserve">Operating life modelled; zero net terminal value (scrap offsets decommissioning)</t>
  </si>
  <si>
    <t xml:space="preserve">cod_year</t>
  </si>
  <si>
    <t xml:space="preserve">calendar year</t>
  </si>
  <si>
    <t xml:space="preserve">COD September 2028 after financial close September 2027</t>
  </si>
  <si>
    <t xml:space="preserve">mc_runs</t>
  </si>
  <si>
    <t xml:space="preserve">runs</t>
  </si>
  <si>
    <t xml:space="preserve">Monte Carlo iterations, seed 42</t>
  </si>
  <si>
    <t xml:space="preserve">clip_loss</t>
  </si>
  <si>
    <t xml:space="preserve">S02</t>
  </si>
  <si>
    <t xml:space="preserve">Inverter clipping loss from PVGIS hourly 2019-2023 at DC/AC 1.2 (scripts/resource_and_dispatch.py)</t>
  </si>
  <si>
    <t xml:space="preserve">bess_charge_yr1</t>
  </si>
  <si>
    <t xml:space="preserve">MWh/yr</t>
  </si>
  <si>
    <t xml:space="preserve">Annual PV energy routed to the battery in the hourly dispatch simulation</t>
  </si>
  <si>
    <t xml:space="preserve">bess_dis_ratio</t>
  </si>
  <si>
    <t xml:space="preserve">ratio</t>
  </si>
  <si>
    <t xml:space="preserve">Energy discharged / energy charged in the dispatch simulation</t>
  </si>
  <si>
    <t xml:space="preserve">yield_mult</t>
  </si>
  <si>
    <t xml:space="preserve">Scenario lever: energy yield multiplier</t>
  </si>
  <si>
    <t xml:space="preserve">capex_mult</t>
  </si>
  <si>
    <t xml:space="preserve">Scenario lever: capex multiplier</t>
  </si>
  <si>
    <t xml:space="preserve">opex_mult</t>
  </si>
  <si>
    <t xml:space="preserve">Scenario lever: opex multiplier</t>
  </si>
  <si>
    <t xml:space="preserve">bess_on</t>
  </si>
  <si>
    <t xml:space="preserve">0/1</t>
  </si>
  <si>
    <t xml:space="preserve">Scenario lever: include the BESS option</t>
  </si>
  <si>
    <t xml:space="preserve">Item</t>
  </si>
  <si>
    <t xml:space="preserve">Formula basis</t>
  </si>
  <si>
    <t xml:space="preserve">PV modules (TOPCon, bifacial)</t>
  </si>
  <si>
    <t xml:space="preserve">module price x Wp</t>
  </si>
  <si>
    <t xml:space="preserve">Freight, insurance, port and inland logistics</t>
  </si>
  <si>
    <t xml:space="preserve">Inverters</t>
  </si>
  <si>
    <t xml:space="preserve">Mounting structures</t>
  </si>
  <si>
    <t xml:space="preserve">Electrical balance of system</t>
  </si>
  <si>
    <t xml:space="preserve">Substation and interconnection</t>
  </si>
  <si>
    <t xml:space="preserve">lump sum</t>
  </si>
  <si>
    <t xml:space="preserve">Civil works and fencing</t>
  </si>
  <si>
    <t xml:space="preserve">Installation labour</t>
  </si>
  <si>
    <t xml:space="preserve">Security systems and SCADA</t>
  </si>
  <si>
    <t xml:space="preserve">Hard cost subtotal</t>
  </si>
  <si>
    <t xml:space="preserve">EPC price</t>
  </si>
  <si>
    <t xml:space="preserve">Development and permitting</t>
  </si>
  <si>
    <t xml:space="preserve">Owner's engineer and construction insurance</t>
  </si>
  <si>
    <t xml:space="preserve">Contingency</t>
  </si>
  <si>
    <t xml:space="preserve">Capex multiplier (scenario lever)</t>
  </si>
  <si>
    <t xml:space="preserve">PV capex</t>
  </si>
  <si>
    <t xml:space="preserve">BESS capex (option)</t>
  </si>
  <si>
    <t xml:space="preserve">Total capex (C)</t>
  </si>
  <si>
    <t xml:space="preserve">Funding plan</t>
  </si>
  <si>
    <t xml:space="preserve">Cost of debt (7-yr UST + margin)</t>
  </si>
  <si>
    <t xml:space="preserve">Senior debt (D)</t>
  </si>
  <si>
    <t xml:space="preserve">Upfront fees</t>
  </si>
  <si>
    <t xml:space="preserve">Interest during construction</t>
  </si>
  <si>
    <t xml:space="preserve">Total funding requirement (F)</t>
  </si>
  <si>
    <t xml:space="preserve">Equity (F - D)</t>
  </si>
  <si>
    <t xml:space="preserve">Gearing check (D / F)</t>
  </si>
  <si>
    <t xml:space="preserve">Annual debt service (annuity)</t>
  </si>
  <si>
    <t xml:space="preserve">Capex per kWp (USD)</t>
  </si>
  <si>
    <t xml:space="preserve">Capex per kWac (USD)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</si>
  <si>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</si>
  <si>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</si>
  <si>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</si>
  <si>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</si>
  <si>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</si>
  <si>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</si>
  <si>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</si>
  <si>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</si>
  <si>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</si>
  <si>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</si>
  <si>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</si>
  <si>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</si>
  <si>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</si>
  <si>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</si>
  <si>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</si>
  <si>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</si>
  <si>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</si>
  <si>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Year 16</t>
  </si>
  <si>
    <t xml:space="preserve">Year 17</t>
  </si>
  <si>
    <t xml:space="preserve">Year 18</t>
  </si>
  <si>
    <t xml:space="preserve">Year 19</t>
  </si>
  <si>
    <t xml:space="preserve">Year 20</t>
  </si>
  <si>
    <t xml:space="preserve">Year 21</t>
  </si>
  <si>
    <t xml:space="preserve">Year 22</t>
  </si>
  <si>
    <t xml:space="preserve">Year 23</t>
  </si>
  <si>
    <t xml:space="preserve">Year 24</t>
  </si>
  <si>
    <t xml:space="preserve">Year 25</t>
  </si>
  <si>
    <t xml:space="preserve">Timeline</t>
  </si>
  <si>
    <t xml:space="preserve">Operating year</t>
  </si>
  <si>
    <t xml:space="preserve">Calendar year of COD anniversary</t>
  </si>
  <si>
    <t xml:space="preserve">Energy</t>
  </si>
  <si>
    <t xml:space="preserve">Module output factor</t>
  </si>
  <si>
    <t xml:space="preserve">PV energy available</t>
  </si>
  <si>
    <t xml:space="preserve">BESS capacity factor</t>
  </si>
  <si>
    <t xml:space="preserve">Energy routed to BESS</t>
  </si>
  <si>
    <t xml:space="preserve">BESS evening discharge</t>
  </si>
  <si>
    <t xml:space="preserve">Daytime energy sold</t>
  </si>
  <si>
    <t xml:space="preserve">Total energy delivered</t>
  </si>
  <si>
    <t xml:space="preserve">Revenue</t>
  </si>
  <si>
    <t xml:space="preserve">PPA indexation factor</t>
  </si>
  <si>
    <t xml:space="preserve">Daytime tariff</t>
  </si>
  <si>
    <t xml:space="preserve">Evening tariff</t>
  </si>
  <si>
    <t xml:space="preserve">Billed revenue</t>
  </si>
  <si>
    <t xml:space="preserve">Revenue after collection and FX loss</t>
  </si>
  <si>
    <t xml:space="preserve">Operating costs</t>
  </si>
  <si>
    <t xml:space="preserve">Opex escalation factor</t>
  </si>
  <si>
    <t xml:space="preserve">O&amp;M contract</t>
  </si>
  <si>
    <t xml:space="preserve">Insurance</t>
  </si>
  <si>
    <t xml:space="preserve">Political risk insurance</t>
  </si>
  <si>
    <t xml:space="preserve">Security</t>
  </si>
  <si>
    <t xml:space="preserve">Land lease</t>
  </si>
  <si>
    <t xml:space="preserve">SPV administration, billing, metering</t>
  </si>
  <si>
    <t xml:space="preserve">BESS O&amp;M</t>
  </si>
  <si>
    <t xml:space="preserve">Network use and metering charge</t>
  </si>
  <si>
    <t xml:space="preserve">Total opex</t>
  </si>
  <si>
    <t xml:space="preserve">EBITDA</t>
  </si>
  <si>
    <t xml:space="preserve">Replacement capex (inverters, BESS augmentation)</t>
  </si>
  <si>
    <t xml:space="preserve">Senior debt</t>
  </si>
  <si>
    <t xml:space="preserve">Opening balance</t>
  </si>
  <si>
    <t xml:space="preserve">Interest</t>
  </si>
  <si>
    <t xml:space="preserve">Debt service (annuity)</t>
  </si>
  <si>
    <t xml:space="preserve">Principal repayment</t>
  </si>
  <si>
    <t xml:space="preserve">Closing balance</t>
  </si>
  <si>
    <t xml:space="preserve">Tax</t>
  </si>
  <si>
    <t xml:space="preserve">Depreciation (funding cost, straight line)</t>
  </si>
  <si>
    <t xml:space="preserve">Taxable income before losses</t>
  </si>
  <si>
    <t xml:space="preserve">Tax losses brought forward</t>
  </si>
  <si>
    <t xml:space="preserve">Taxable income after losses</t>
  </si>
  <si>
    <t xml:space="preserve">Tax losses carried forward</t>
  </si>
  <si>
    <t xml:space="preserve">Effective tax rate</t>
  </si>
  <si>
    <t xml:space="preserve">%</t>
  </si>
  <si>
    <t xml:space="preserve">Income tax paid</t>
  </si>
  <si>
    <t xml:space="preserve">Working capital</t>
  </si>
  <si>
    <t xml:space="preserve">Trade receivables (closing)</t>
  </si>
  <si>
    <t xml:space="preserve">Increase in working capital</t>
  </si>
  <si>
    <t xml:space="preserve">Cash flow waterfall</t>
  </si>
  <si>
    <t xml:space="preserve">Cash flow available for debt service (CFADS)</t>
  </si>
  <si>
    <t xml:space="preserve">DSCR</t>
  </si>
  <si>
    <t xml:space="preserve">Equity cash flow</t>
  </si>
  <si>
    <t xml:space="preserve">Depreciation, unlevered basis</t>
  </si>
  <si>
    <t xml:space="preserve">Unlevered tax</t>
  </si>
  <si>
    <t xml:space="preserve">Project (unlevered) free cash flow</t>
  </si>
  <si>
    <t xml:space="preserve">Payback, discounting and LCOE helpers</t>
  </si>
  <si>
    <t xml:space="preserve">Cumulative project cash flow</t>
  </si>
  <si>
    <t xml:space="preserve">Project payback crossing</t>
  </si>
  <si>
    <t xml:space="preserve">Cumulative equity cash flow</t>
  </si>
  <si>
    <t xml:space="preserve">Equity payback crossing</t>
  </si>
  <si>
    <t xml:space="preserve">Discount factor at WACC</t>
  </si>
  <si>
    <t xml:space="preserve">PV of opex and replacement capex</t>
  </si>
  <si>
    <t xml:space="preserve">PV of energy (kWh)</t>
  </si>
  <si>
    <t xml:space="preserve">kWh</t>
  </si>
  <si>
    <t xml:space="preserve">Discount factor at 8%</t>
  </si>
  <si>
    <t xml:space="preserve">PV of costs at 8%</t>
  </si>
  <si>
    <t xml:space="preserve">PV of energy at 8% (kWh)</t>
  </si>
  <si>
    <t xml:space="preserve">PV of CFADS over loan life at cost of debt</t>
  </si>
  <si>
    <t xml:space="preserve">Metric</t>
  </si>
  <si>
    <t xml:space="preserve">Unit / note</t>
  </si>
  <si>
    <t xml:space="preserve">Cost of equity (CAPM + country risk premium)</t>
  </si>
  <si>
    <t xml:space="preserve">10-yr UST + beta x mature ERP + Syria CRP</t>
  </si>
  <si>
    <t xml:space="preserve">WACC (post-tax, relief-period tax rate)</t>
  </si>
  <si>
    <t xml:space="preserve">Project discount rate</t>
  </si>
  <si>
    <t xml:space="preserve">Project NPV at WACC</t>
  </si>
  <si>
    <t xml:space="preserve">Project IRR</t>
  </si>
  <si>
    <t xml:space="preserve">Unlevered, after tax</t>
  </si>
  <si>
    <t xml:space="preserve">Equity NPV at cost of equity</t>
  </si>
  <si>
    <t xml:space="preserve">Equity IRR</t>
  </si>
  <si>
    <t xml:space="preserve">Levered, after tax</t>
  </si>
  <si>
    <t xml:space="preserve">Project payback</t>
  </si>
  <si>
    <t xml:space="preserve">Years from COD (undiscounted)</t>
  </si>
  <si>
    <t xml:space="preserve">Equity payback</t>
  </si>
  <si>
    <t xml:space="preserve">LCOE at WACC</t>
  </si>
  <si>
    <t xml:space="preserve">USD/kWh, nominal levelised, pre-tax</t>
  </si>
  <si>
    <t xml:space="preserve">LCOE at 8% (benchmark discount rate)</t>
  </si>
  <si>
    <t xml:space="preserve">Minimum DSCR</t>
  </si>
  <si>
    <t xml:space="preserve">Over loan tenor</t>
  </si>
  <si>
    <t xml:space="preserve">Average DSCR</t>
  </si>
  <si>
    <t xml:space="preserve">LLCR</t>
  </si>
  <si>
    <t xml:space="preserve">PV of CFADS over loan life / debt</t>
  </si>
  <si>
    <t xml:space="preserve">Year-1 energy delivered</t>
  </si>
  <si>
    <t xml:space="preserve">Year-1 revenue</t>
  </si>
  <si>
    <t xml:space="preserve">Year-1 opex</t>
  </si>
  <si>
    <t xml:space="preserve">Year-1 EBITDA</t>
  </si>
  <si>
    <t xml:space="preserve">Lifetime energy delivered</t>
  </si>
  <si>
    <t xml:space="preserve">Specific yield year 1</t>
  </si>
  <si>
    <t xml:space="preserve">kWh/kWp delivered</t>
  </si>
  <si>
    <t xml:space="preserve">Capacity factor year 1 (AC)</t>
  </si>
  <si>
    <t xml:space="preserve">On 50 MWac</t>
  </si>
  <si>
    <t xml:space="preserve">Comparator</t>
  </si>
  <si>
    <t xml:space="preserve">Grid tariff, industrial (official FX)</t>
  </si>
  <si>
    <t xml:space="preserve">Decision 687, 17 SYP/kWh / 122.5</t>
  </si>
  <si>
    <t xml:space="preserve">Grid tariff, industrial (parallel FX)</t>
  </si>
  <si>
    <t xml:space="preserve">17 SYP/kWh / 140.5</t>
  </si>
  <si>
    <t xml:space="preserve">Grid tariff, heavy industry (official FX)</t>
  </si>
  <si>
    <t xml:space="preserve">18 SYP/kWh</t>
  </si>
  <si>
    <t xml:space="preserve">Diesel self-generation, industrial diesel (official FX)</t>
  </si>
  <si>
    <t xml:space="preserve">150 SYP/L x 0.28 L/kWh + non-fuel cost</t>
  </si>
  <si>
    <t xml:space="preserve">Diesel self-generation, industrial diesel (parallel FX)</t>
  </si>
  <si>
    <t xml:space="preserve">Diesel self-generation, standard diesel (official FX)</t>
  </si>
  <si>
    <t xml:space="preserve">175 SYP/L</t>
  </si>
  <si>
    <t xml:space="preserve">Proposed PPA tariff, year 1</t>
  </si>
  <si>
    <t xml:space="preserve">PPA discount to grid tariff (official FX)</t>
  </si>
  <si>
    <t xml:space="preserve">share</t>
  </si>
  <si>
    <t xml:space="preserve">PPA discount to diesel self-generation</t>
  </si>
  <si>
    <t xml:space="preserve">Decision 154 feed-in tariff, solar</t>
  </si>
  <si>
    <t xml:space="preserve">State purchase, 2-10 MW projects</t>
  </si>
  <si>
    <t xml:space="preserve">Official / parallel FX gap</t>
  </si>
  <si>
    <t xml:space="preserve">CO2 from diesel self-generation</t>
  </si>
  <si>
    <t xml:space="preserve">t CO2 per MWh</t>
  </si>
  <si>
    <t xml:space="preserve">Blended cost for a factory operating 16 hours per day</t>
  </si>
  <si>
    <t xml:space="preserve">Grid hours available</t>
  </si>
  <si>
    <t xml:space="preserve">Static results exported from scripts/analysis.py (re-run the script to refresh). Not live formulas.</t>
  </si>
  <si>
    <t xml:space="preserve">Scenario</t>
  </si>
  <si>
    <t xml:space="preserve">Capex USD</t>
  </si>
  <si>
    <t xml:space="preserve">Project NPV USD</t>
  </si>
  <si>
    <t xml:space="preserve">Equity NPV USD</t>
  </si>
  <si>
    <t xml:space="preserve">Payback (yrs)</t>
  </si>
  <si>
    <t xml:space="preserve">LCOE USD/kWh</t>
  </si>
  <si>
    <t xml:space="preserve">Min DSCR</t>
  </si>
  <si>
    <t xml:space="preserve">Definition</t>
  </si>
  <si>
    <t xml:space="preserve">Base case</t>
  </si>
  <si>
    <t xml:space="preserve">Assumptions as listed in Appendix A</t>
  </si>
  <si>
    <t xml:space="preserve">Upside</t>
  </si>
  <si>
    <t xml:space="preserve">Yield +4%, capex -8%, no FX loss, collection 99%, opex -10%</t>
  </si>
  <si>
    <t xml:space="preserve">Downside</t>
  </si>
  <si>
    <t xml:space="preserve">P90 yield (x0.928), capex +15%, FX loss 8%, collection 93%, opex +15%</t>
  </si>
  <si>
    <t xml:space="preserve">Severe stress</t>
  </si>
  <si>
    <t xml:space="preserve">P90 yield, capex +25%, FX loss 13%, collection 90%, opex +30%, debt 11.5%, no PPA indexation</t>
  </si>
  <si>
    <t xml:space="preserve">Grid sale under Decision 154</t>
  </si>
  <si>
    <t xml:space="preserve">All output sold to the state utility at 0.04 USD/kWh flat, no wheeling, full collection</t>
  </si>
  <si>
    <t xml:space="preserve">PV + 20 MW / 80 MWh BESS</t>
  </si>
  <si>
    <t xml:space="preserve">BESS charged from PV, evening energy at 0.16 USD/kWh</t>
  </si>
  <si>
    <t xml:space="preserve">Tornado driver</t>
  </si>
  <si>
    <t xml:space="preserve">NPV adverse</t>
  </si>
  <si>
    <t xml:space="preserve">NPV favourable</t>
  </si>
  <si>
    <t xml:space="preserve">Eq IRR adverse</t>
  </si>
  <si>
    <t xml:space="preserve">Eq IRR favourable</t>
  </si>
  <si>
    <t xml:space="preserve">Min DSCR adverse</t>
  </si>
  <si>
    <t xml:space="preserve">Min DSCR favourable</t>
  </si>
  <si>
    <t xml:space="preserve">PPA tariff (0.085 / 0.115 USD/kWh)</t>
  </si>
  <si>
    <t xml:space="preserve">Capex (+20% / -10%)</t>
  </si>
  <si>
    <t xml:space="preserve">FX conversion loss (13% / 0%)</t>
  </si>
  <si>
    <t xml:space="preserve">Opex (+30% / -20%)</t>
  </si>
  <si>
    <t xml:space="preserve">Energy yield (P90 / +5%)</t>
  </si>
  <si>
    <t xml:space="preserve">Collection rate (90% / 99%)</t>
  </si>
  <si>
    <t xml:space="preserve">Interest rate (11.5% / 8.5%)</t>
  </si>
  <si>
    <t xml:space="preserve">Availability (95% / 99.5%)</t>
  </si>
  <si>
    <t xml:space="preserve">Income tax rate (15% / 0%)</t>
  </si>
  <si>
    <t xml:space="preserve">Annual degradation (0.7% / 0.3%)</t>
  </si>
  <si>
    <t xml:space="preserve">Monte Carlo (10,000 runs)</t>
  </si>
  <si>
    <t xml:space="preserve">Unmitigated</t>
  </si>
  <si>
    <t xml:space="preserve">With mitigants</t>
  </si>
  <si>
    <t xml:space="preserve">Project NPV P10</t>
  </si>
  <si>
    <t xml:space="preserve">Project NPV P50</t>
  </si>
  <si>
    <t xml:space="preserve">Project NPV P90</t>
  </si>
  <si>
    <t xml:space="preserve">Probability NPV &lt; 0</t>
  </si>
  <si>
    <t xml:space="preserve">Equity IRR P10</t>
  </si>
  <si>
    <t xml:space="preserve">Equity IRR P50</t>
  </si>
  <si>
    <t xml:space="preserve">Equity IRR P90</t>
  </si>
  <si>
    <t xml:space="preserve">Probability equity IRR &lt; cost of equity</t>
  </si>
  <si>
    <t xml:space="preserve">Min DSCR P5</t>
  </si>
  <si>
    <t xml:space="preserve">Probability min DSCR &lt; 1.30</t>
  </si>
  <si>
    <t xml:space="preserve">Probability min DSCR &lt; 1.15</t>
  </si>
  <si>
    <t xml:space="preserve">Breakeven</t>
  </si>
  <si>
    <t xml:space="preserve">PPA tariff for project NPV = 0</t>
  </si>
  <si>
    <t xml:space="preserve">PPA tariff for equity IRR = cost of equity</t>
  </si>
  <si>
    <t xml:space="preserve">PPA tariff for minimum DSCR = 1.30</t>
  </si>
  <si>
    <t xml:space="preserve">Capex multiplier for project NPV = 0</t>
  </si>
  <si>
    <t xml:space="preserve">FX conversion loss for project NPV = 0</t>
  </si>
  <si>
    <t xml:space="preserve">BESS evening tariff for zero incremental NPV</t>
  </si>
  <si>
    <t xml:space="preserve">Check</t>
  </si>
  <si>
    <t xml:space="preserve">Excel value</t>
  </si>
  <si>
    <t xml:space="preserve">Expected / Python</t>
  </si>
  <si>
    <t xml:space="preserve">Difference</t>
  </si>
  <si>
    <t xml:space="preserve">Pass</t>
  </si>
  <si>
    <t xml:space="preserve">Sources equal uses: debt + equity - funding</t>
  </si>
  <si>
    <t xml:space="preserve">Capex lines sum to PV capex</t>
  </si>
  <si>
    <t xml:space="preserve">Debt fully repaid at end of tenor</t>
  </si>
  <si>
    <t xml:space="preserve">Sum of principal equals debt</t>
  </si>
  <si>
    <t xml:space="preserve">Equity cash flow = CFADS - debt service (all years)</t>
  </si>
  <si>
    <t xml:space="preserve">Project NPV at project IRR equals zero</t>
  </si>
  <si>
    <t xml:space="preserve">Equity NPV at equity IRR equals zero</t>
  </si>
  <si>
    <t xml:space="preserve">Working capital released by final year</t>
  </si>
  <si>
    <t xml:space="preserve">No negative tax paid</t>
  </si>
  <si>
    <t xml:space="preserve">No negative energy</t>
  </si>
  <si>
    <t xml:space="preserve">Gearing equals input</t>
  </si>
  <si>
    <t xml:space="preserve">Minimum DSCR above lock-up covenant</t>
  </si>
  <si>
    <t xml:space="preserve">Python: total capex</t>
  </si>
  <si>
    <t xml:space="preserve">Python: senior debt</t>
  </si>
  <si>
    <t xml:space="preserve">Python: year-1 energy (MWh)</t>
  </si>
  <si>
    <t xml:space="preserve">Python: year-1 revenue</t>
  </si>
  <si>
    <t xml:space="preserve">Python: year-1 EBITDA</t>
  </si>
  <si>
    <t xml:space="preserve">Python: project NPV</t>
  </si>
  <si>
    <t xml:space="preserve">Python: project IRR</t>
  </si>
  <si>
    <t xml:space="preserve">Python: equity NPV</t>
  </si>
  <si>
    <t xml:space="preserve">Python: equity IRR</t>
  </si>
  <si>
    <t xml:space="preserve">Python: project payback</t>
  </si>
  <si>
    <t xml:space="preserve">Python: equity payback</t>
  </si>
  <si>
    <t xml:space="preserve">Python: LCOE at WACC</t>
  </si>
  <si>
    <t xml:space="preserve">Python: minimum DSCR</t>
  </si>
  <si>
    <t xml:space="preserve">Python: average DSCR</t>
  </si>
  <si>
    <t xml:space="preserve">Python: LLCR</t>
  </si>
  <si>
    <t xml:space="preserve">Python: WACC</t>
  </si>
  <si>
    <t xml:space="preserve">Overall result</t>
  </si>
  <si>
    <t xml:space="preserve">Python checks compare against data/results.json for the base case (bess_on = 0, multipliers = 1).</t>
  </si>
  <si>
    <t xml:space="preserve">ID</t>
  </si>
  <si>
    <t xml:space="preserve">Title</t>
  </si>
  <si>
    <t xml:space="preserve">Publisher</t>
  </si>
  <si>
    <t xml:space="preserve">Date</t>
  </si>
  <si>
    <t xml:space="preserve">URL</t>
  </si>
  <si>
    <t xml:space="preserve">Used for</t>
  </si>
  <si>
    <t xml:space="preserve">PVGIS 5.3 PVcalc: fixed mounting, optimal tilt, 36.27N 37.30E (SARAH3 2005-2023)</t>
  </si>
  <si>
    <t xml:space="preserve">European Commission Joint Research Centre</t>
  </si>
  <si>
    <t xml:space="preserve">2026-10-14 (retrieved)</t>
  </si>
  <si>
    <t xml:space="preserve">https://re.jrc.ec.europa.eu/api/v5_3/PVcalc?lat=36.27&amp;lon=37.30&amp;peakpower=1&amp;loss=14&amp;optimalangles=1&amp;outputformat=json</t>
  </si>
  <si>
    <t xml:space="preserve">Specific yield 1,654.5 kWh/kWp; monthly yield; losses; tracker comparison</t>
  </si>
  <si>
    <t xml:space="preserve">PVGIS 5.3 seriescalc hourly PV output 2019-2023, 31 deg tilt</t>
  </si>
  <si>
    <t xml:space="preserve">https://re.jrc.ec.europa.eu/api/v5_3/seriescalc?lat=36.27&amp;lon=37.30&amp;peakpower=1&amp;loss=14&amp;angle=31&amp;aspect=1&amp;startyear=2019&amp;endyear=2023&amp;pvcalculation=1&amp;outputformat=csv</t>
  </si>
  <si>
    <t xml:space="preserve">Hourly profiles, clipping loss, BESS dispatch simulation</t>
  </si>
  <si>
    <t xml:space="preserve">S03</t>
  </si>
  <si>
    <t xml:space="preserve">NASA POWER climatology API v2.10.1 (Jan 2001 - Dec 2025), ALLSKY_SFC_SW_DWN and T2M</t>
  </si>
  <si>
    <t xml:space="preserve">NASA Langley Research Center</t>
  </si>
  <si>
    <t xml:space="preserve">https://power.larc.nasa.gov/api/temporal/climatology/point?parameters=ALLSKY_SFC_SW_DWN,T2M&amp;community=RE&amp;longitude=37.30&amp;latitude=36.27&amp;format=JSON</t>
  </si>
  <si>
    <t xml:space="preserve">Irradiance and temperature cross-check</t>
  </si>
  <si>
    <t xml:space="preserve">Global Solar Atlas long-term averages (Solargis model v2.2.68, data updated 2026-04-01)</t>
  </si>
  <si>
    <t xml:space="preserve">World Bank Group / ESMAP / Solargis</t>
  </si>
  <si>
    <t xml:space="preserve">https://api.globalsolaratlas.info/data/lta?loc=36.27,37.30</t>
  </si>
  <si>
    <t xml:space="preserve">GHI, GTI, PVOUT cross-check</t>
  </si>
  <si>
    <t xml:space="preserve">PV spot price: module, cell, wafer and polysilicon prices (week of 30 Sep 2026)</t>
  </si>
  <si>
    <t xml:space="preserve">InfoLink Consulting</t>
  </si>
  <si>
    <t xml:space="preserve">2026-09-30</t>
  </si>
  <si>
    <t xml:space="preserve">https://infolink-group.com/spot-price/</t>
  </si>
  <si>
    <t xml:space="preserve">TOPCon module price 0.114 USD/W (non-China markets)</t>
  </si>
  <si>
    <t xml:space="preserve">S06</t>
  </si>
  <si>
    <t xml:space="preserve">Renewable Power Generation Costs in 2025 (reported by PV Tech, 2 Jul 2026)</t>
  </si>
  <si>
    <t xml:space="preserve">IRENA; PV Tech</t>
  </si>
  <si>
    <t xml:space="preserve">2026-07-02</t>
  </si>
  <si>
    <t xml:space="preserve">https://www.pv-tech.org/solar-pv-lcoe-ticks-marginally-upwards-2025-irena/</t>
  </si>
  <si>
    <t xml:space="preserve">Global utility PV installed cost 667 USD/kW and LCOE 44 USD/MWh (2025)</t>
  </si>
  <si>
    <t xml:space="preserve">Battery storage system prices continue to fall sharply, BNEF and Ember reports find</t>
  </si>
  <si>
    <t xml:space="preserve">Energy-Storage.News (BNEF ESS Cost Survey 2025; Ember)</t>
  </si>
  <si>
    <t xml:space="preserve">2025-12-16</t>
  </si>
  <si>
    <t xml:space="preserve">https://www.energy-storage.news/battery-storage-system-prices-continue-to-fall-sharply-bnef-and-ember-reports-find/</t>
  </si>
  <si>
    <t xml:space="preserve">Turnkey BESS 117 USD/kWh (BNEF); 125 USD/kWh all-in ex China/US (Ember, Oct 2025)</t>
  </si>
  <si>
    <t xml:space="preserve">PowerChina wraps up record 102 GW solar equipment procurement tender</t>
  </si>
  <si>
    <t xml:space="preserve">pv magazine</t>
  </si>
  <si>
    <t xml:space="preserve">2024-12-13</t>
  </si>
  <si>
    <t xml:space="preserve">https://www.pv-magazine.com/2024/12/13/powerchina-wraps-up-record-102-gw-solar-equipment-procurement-tender/</t>
  </si>
  <si>
    <t xml:space="preserve">String inverter bids 0.012-0.025 USD/W (China)</t>
  </si>
  <si>
    <t xml:space="preserve">Limited Warranty, linear bifacial module (Rev. EN 2025-09-19)</t>
  </si>
  <si>
    <t xml:space="preserve">JinkoSolar</t>
  </si>
  <si>
    <t xml:space="preserve">2025-09-19</t>
  </si>
  <si>
    <t xml:space="preserve">https://www.jinkosolar.com/uploads/LIMITED%20WARRANTY%20REV.EN20250919-LINEAR-BIFACIAL%20MODULE.pdf</t>
  </si>
  <si>
    <t xml:space="preserve">Degradation: 1.0% year 1, 0.4%/yr thereafter</t>
  </si>
  <si>
    <t xml:space="preserve">Annual Technology Baseline 2024: Utility-Scale PV</t>
  </si>
  <si>
    <t xml:space="preserve">National Renewable Energy Laboratory (NREL)</t>
  </si>
  <si>
    <t xml:space="preserve">2024</t>
  </si>
  <si>
    <t xml:space="preserve">https://atb.nrel.gov/electricity/2024/utility-scale_pv</t>
  </si>
  <si>
    <t xml:space="preserve">Fixed O&amp;M benchmark 22 USD/kWac-yr</t>
  </si>
  <si>
    <t xml:space="preserve">Ministry of Energy Decisions 686 and 687 on electricity tariffs (effective 1 Nov 2025); Enab Baladi coverage</t>
  </si>
  <si>
    <t xml:space="preserve">Ministry of Energy via Syrian Memory archive; Al-Fedaa; Enab Baladi</t>
  </si>
  <si>
    <t xml:space="preserve">2025-10-30</t>
  </si>
  <si>
    <t xml:space="preserve">https://syrianmemory.org/archive/documents/6949bb0ffc0b99dfa82ef97a</t>
  </si>
  <si>
    <t xml:space="preserve">Industrial tariff 1,700 old SYP/kWh; heavy industry 1,800; prior 1,500</t>
  </si>
  <si>
    <t xml:space="preserve">Syria temporarily raises fuel prices amid rising global costs, supply squeeze</t>
  </si>
  <si>
    <t xml:space="preserve">SANA</t>
  </si>
  <si>
    <t xml:space="preserve">2026-09-13</t>
  </si>
  <si>
    <t xml:space="preserve">https://sana.sy/en/economic/2342343/</t>
  </si>
  <si>
    <t xml:space="preserve">Diesel 175 SYP/L; reference rate 122 SYP/USD</t>
  </si>
  <si>
    <t xml:space="preserve">Syria to offer lower-priced diesel to ease fuel costs (Energy Minister press conference); Reuters report of same date</t>
  </si>
  <si>
    <t xml:space="preserve">Arab News Japan / SANA; Reuters</t>
  </si>
  <si>
    <t xml:space="preserve">2026-09-17</t>
  </si>
  <si>
    <t xml:space="preserve">https://www.reuters.com/business/energy/syria-offers-cheaper-diesel-after-fuel-price-protests-2026-09-17/</t>
  </si>
  <si>
    <t xml:space="preserve">Diesel grades 115 / 150 / 175 SYP/L; actual cost 206 SYP/L</t>
  </si>
  <si>
    <t xml:space="preserve">S14</t>
  </si>
  <si>
    <t xml:space="preserve">Syria diesel prices, 05-Oct-2026</t>
  </si>
  <si>
    <t xml:space="preserve">GlobalPetrolPrices.com</t>
  </si>
  <si>
    <t xml:space="preserve">2026-10-05</t>
  </si>
  <si>
    <t xml:space="preserve">https://www.globalpetrolprices.com/Syria/diesel_prices/</t>
  </si>
  <si>
    <t xml:space="preserve">Diesel 175 SYP/L = 1.496 USD/L (cross-check)</t>
  </si>
  <si>
    <t xml:space="preserve">Syrian pound exchange rates on 13 October 2026</t>
  </si>
  <si>
    <t xml:space="preserve">LiraScope</t>
  </si>
  <si>
    <t xml:space="preserve">2026-10-13</t>
  </si>
  <si>
    <t xml:space="preserve">https://lirascope.syria-cloud.sy/en/rates/archive/2026-10-13</t>
  </si>
  <si>
    <t xml:space="preserve">Official 122.5 and parallel 140.5 SYP/USD</t>
  </si>
  <si>
    <t xml:space="preserve">S16</t>
  </si>
  <si>
    <t xml:space="preserve">Grids are back but generators remain: private electricity bills in Aleppo (Enab Baladi reporting); Sookeh News on Aleppo supply cuts</t>
  </si>
  <si>
    <t xml:space="preserve">Horrya Press; Sookeh News</t>
  </si>
  <si>
    <t xml:space="preserve">2026-09</t>
  </si>
  <si>
    <t xml:space="preserve">https://horrya.net/archives/163653</t>
  </si>
  <si>
    <t xml:space="preserve">Aleppo supply about 16 h/day late Aug 2026, falling to about 3 h at night after 16 Sep 2026 faults</t>
  </si>
  <si>
    <t xml:space="preserve">S17</t>
  </si>
  <si>
    <t xml:space="preserve">Syrian Electricity Company: temporary increase in power rationing hours after four generation units go offline</t>
  </si>
  <si>
    <t xml:space="preserve">Welat TV</t>
  </si>
  <si>
    <t xml:space="preserve">2026-09-18</t>
  </si>
  <si>
    <t xml:space="preserve">https://welattv.net/en/node/31675</t>
  </si>
  <si>
    <t xml:space="preserve">National rationing; Decree 45/2026 creating Syrian Electricity Company</t>
  </si>
  <si>
    <t xml:space="preserve">Syria Power Sector Guide 2026</t>
  </si>
  <si>
    <t xml:space="preserve">Norton Rose Fulbright</t>
  </si>
  <si>
    <t xml:space="preserve">2026-06</t>
  </si>
  <si>
    <t xml:space="preserve">https://www.nortonrosefulbright.com/en-gb/knowledge/publications/9a5a8e97/syria-power-sector-guide-2026</t>
  </si>
  <si>
    <t xml:space="preserve">Electricity Law 32/2010; Laws 32/2021 and 41/2022; PPP Law 5/2016; Investment Law 2025; sanctions; ESIA order 225/2008</t>
  </si>
  <si>
    <t xml:space="preserve">S19</t>
  </si>
  <si>
    <t xml:space="preserve">Towards a transformative reconstruction of the electricity sector in Syria (Discussion Paper 6/2026)</t>
  </si>
  <si>
    <t xml:space="preserve">German Institute of Development and Sustainability (IDOS)</t>
  </si>
  <si>
    <t xml:space="preserve">2026</t>
  </si>
  <si>
    <t xml:space="preserve">https://www.idos-research.de/fileadmin/user_upload/pdfs/publikationen/discussion_paper/2026/DP_6.2026.pdf</t>
  </si>
  <si>
    <t xml:space="preserve">Production cost 0.12-0.18 USD/kWh; Decision 154 vs Law 41/2022; off-grid PV &gt; 2,200 MW; NW Syria tariffs</t>
  </si>
  <si>
    <t xml:space="preserve">Syria fast-tracks small renewables, greenlights two new 100-MW solar projects</t>
  </si>
  <si>
    <t xml:space="preserve">list.solar</t>
  </si>
  <si>
    <t xml:space="preserve">2025-07-14</t>
  </si>
  <si>
    <t xml:space="preserve">https://list.solar/news/syria-fast-tracks/</t>
  </si>
  <si>
    <t xml:space="preserve">Decision 154 (3 Jul 2025): 2-10 MW, 20-yr licence, 0.04 / 0.06 USD/kWh, paid in SYP at official rate</t>
  </si>
  <si>
    <t xml:space="preserve">S21</t>
  </si>
  <si>
    <t xml:space="preserve">The Ministry of Energy signs the final concession agreements to build and operate eight power plants (5,000 MW)</t>
  </si>
  <si>
    <t xml:space="preserve">UCC Holding; MEED</t>
  </si>
  <si>
    <t xml:space="preserve">2025-11-06</t>
  </si>
  <si>
    <t xml:space="preserve">https://www.uccholding.com/media/read/the-ministry-of-energy-signs-the-final-concession</t>
  </si>
  <si>
    <t xml:space="preserve">1,000 MW solar including 300 MW in Aleppo</t>
  </si>
  <si>
    <t xml:space="preserve">S22</t>
  </si>
  <si>
    <t xml:space="preserve">Syria signs $7 billion power deal with Qatar's UCC Holding-led consortium</t>
  </si>
  <si>
    <t xml:space="preserve">Reuters</t>
  </si>
  <si>
    <t xml:space="preserve">2025-05-29</t>
  </si>
  <si>
    <t xml:space="preserve">https://www.reuters.com/business/energy/syria-signs-7-billion-power-deal-with-qatars-ucc-holding-led-consortium-2025-05-29/</t>
  </si>
  <si>
    <t xml:space="preserve">MoU context</t>
  </si>
  <si>
    <t xml:space="preserve">S23</t>
  </si>
  <si>
    <t xml:space="preserve">Saudi company to build 760 MW of solar, 1,077 MWh of BESS in Syria</t>
  </si>
  <si>
    <t xml:space="preserve">2026-08-07</t>
  </si>
  <si>
    <t xml:space="preserve">https://www.pv-magazine.com/2026/08/07/saudi-company-to-build-760-mw-of-solar-1077-mwh-of-bess-in-syria/</t>
  </si>
  <si>
    <t xml:space="preserve">Recent solar-plus-storage deal</t>
  </si>
  <si>
    <t xml:space="preserve">S24</t>
  </si>
  <si>
    <t xml:space="preserve">Syria: World Bank US$146 million grant to improve electricity supply</t>
  </si>
  <si>
    <t xml:space="preserve">World Bank</t>
  </si>
  <si>
    <t xml:space="preserve">2025-06-25</t>
  </si>
  <si>
    <t xml:space="preserve">https://www.worldbank.org/en/news/press-release/2025/06/25/syria-world-bank-us-146-million-grant-to-improve-electricity-supply-and-support-sector-development</t>
  </si>
  <si>
    <t xml:space="preserve">Syria Electricity Emergency Project (transmission rehabilitation)</t>
  </si>
  <si>
    <t xml:space="preserve">Energy Sector Investment in Syria (Investment Law 18/2021, Decree 114/2025, sanctions timeline)</t>
  </si>
  <si>
    <t xml:space="preserve">Al Arabia Law</t>
  </si>
  <si>
    <t xml:space="preserve">2026 (accessed 2026-10-14)</t>
  </si>
  <si>
    <t xml:space="preserve">https://www.al-arabia-law.com/en/invest-in-syria/energy-sector/</t>
  </si>
  <si>
    <t xml:space="preserve">Tax relief 50-75% for 10 years; customs exemption; Caesar Act repeal 18 Dec 2025; SWIFT reconnection 20 Nov 2025</t>
  </si>
  <si>
    <t xml:space="preserve">Turning the Tax System on Its Head: Assessing Syria's New Fiscal Reform (Syria in Figures, Issue 12)</t>
  </si>
  <si>
    <t xml:space="preserve">Karam Shaar Advisory</t>
  </si>
  <si>
    <t xml:space="preserve">2025-09</t>
  </si>
  <si>
    <t xml:space="preserve">https://karamshaar.com/syria-in-figures/syria-tax-reform-2025/</t>
  </si>
  <si>
    <t xml:space="preserve">Draft corporate income tax 10% priority sectors / 15% others</t>
  </si>
  <si>
    <t xml:space="preserve">Country Default Spreads and Risk Premiums (last updated 5 Jan 2026)</t>
  </si>
  <si>
    <t xml:space="preserve">Aswath Damodaran, NYU Stern</t>
  </si>
  <si>
    <t xml:space="preserve">2026-01-05</t>
  </si>
  <si>
    <t xml:space="preserve">https://pages.stern.nyu.edu/~adamodar/New_Home_Page/datafile/ctryprem.html</t>
  </si>
  <si>
    <t xml:space="preserve">Syria CRP 15.54%; mature ERP 4.23%</t>
  </si>
  <si>
    <t xml:space="preserve">Daily Treasury Par Yield Curve Rates, 13 Oct 2026</t>
  </si>
  <si>
    <t xml:space="preserve">US Department of the Treasury</t>
  </si>
  <si>
    <t xml:space="preserve">https://home.treasury.gov/resource-center/data-chart-center/interest-rates/daily-treasury-rates.csv/2026/all?type=daily_treasury_yield_curve</t>
  </si>
  <si>
    <t xml:space="preserve">7-yr 5.11%, 10-yr 5.21%</t>
  </si>
  <si>
    <t xml:space="preserve">Secured Overnight Financing Rate data</t>
  </si>
  <si>
    <t xml:space="preserve">Federal Reserve Bank of New York</t>
  </si>
  <si>
    <t xml:space="preserve">2026-10-09</t>
  </si>
  <si>
    <t xml:space="preserve">https://markets.newyorkfed.org/api/rates/secured/sofr/last/3.json</t>
  </si>
  <si>
    <t xml:space="preserve">SOFR 3.87%</t>
  </si>
  <si>
    <t xml:space="preserve">mtu 20V4000 DS4000 generator set technical data (50 Hz)</t>
  </si>
  <si>
    <t xml:space="preserve">Rolls-Royce Power Systems (mtu)</t>
  </si>
  <si>
    <t xml:space="preserve">n.d. (accessed 2026-10-14)</t>
  </si>
  <si>
    <t xml:space="preserve">https://www.mtu-solutions.com/content/dam/mtu/products/power-generation/powergeneration-product-list-latest/32310781_PG_spec_20V4000DS4000_4000kVA_3D_FC_50Hz.pdf</t>
  </si>
  <si>
    <t xml:space="preserve">Fuel consumption 202 g/kWh at full load</t>
  </si>
  <si>
    <t xml:space="preserve">GHG Emission Factors Hub 2025</t>
  </si>
  <si>
    <t xml:space="preserve">US Environmental Protection Agency</t>
  </si>
  <si>
    <t xml:space="preserve">2025-01</t>
  </si>
  <si>
    <t xml:space="preserve">https://www.epa.gov/system/files/documents/2025-01/ghg-emission-factors-hub-2025.pdf</t>
  </si>
  <si>
    <t xml:space="preserve">Diesel 10.21 kg CO2 per gallon</t>
  </si>
  <si>
    <t xml:space="preserve">Prime Minister lays foundation stone of Sheikh Najjar photovoltaic power station; Ministry of Electricity project page</t>
  </si>
  <si>
    <t xml:space="preserve">SANA; Ministry of Electricity</t>
  </si>
  <si>
    <t xml:space="preserve">2021-04-10</t>
  </si>
  <si>
    <t xml:space="preserve">https://archive.sana.sy/en/?p=229364</t>
  </si>
  <si>
    <t xml:space="preserve">33 MW, EUR 36 million, 52 GWh/yr, 350,000 m2, 86,840 modules</t>
  </si>
  <si>
    <t xml:space="preserve">Aleppo solar farm (Sheikh Najjar)</t>
  </si>
  <si>
    <t xml:space="preserve">Global Energy Monitor wiki</t>
  </si>
  <si>
    <t xml:space="preserve">2026-09-24 (page modified)</t>
  </si>
  <si>
    <t xml:space="preserve">https://www.gem.wiki/Aleppo_solar_farm</t>
  </si>
  <si>
    <t xml:space="preserve">Phase 1 42 MW operating (2021); phase 2 58 MW under construction; coordinates</t>
  </si>
  <si>
    <t xml:space="preserve">S34</t>
  </si>
  <si>
    <t xml:space="preserve">Sheikh Najjar: 1,553 factories back to life and 80,000 jobs (Syria 24 interview with the City Director)</t>
  </si>
  <si>
    <t xml:space="preserve">Syria 24 via Yalla Syria News</t>
  </si>
  <si>
    <t xml:space="preserve">2026-07-10</t>
  </si>
  <si>
    <t xml:space="preserve">https://yallasyrianews.com/a/130262</t>
  </si>
  <si>
    <t xml:space="preserve">1,553 producing facilities, 704 under construction, 350 in rehabilitation</t>
  </si>
  <si>
    <t xml:space="preserve">S35</t>
  </si>
  <si>
    <t xml:space="preserve">Aleppo's factories return slowly: why are they not running at full capacity?</t>
  </si>
  <si>
    <t xml:space="preserve">Noon Post</t>
  </si>
  <si>
    <t xml:space="preserve">2026-05-25</t>
  </si>
  <si>
    <t xml:space="preserve">https://www.noonpost.com/374964/</t>
  </si>
  <si>
    <t xml:space="preserve">1,506 operating facilities end-2025; about 550 at full and 200 at partial capacity; electricity shortage</t>
  </si>
  <si>
    <t xml:space="preserve">S36</t>
  </si>
  <si>
    <t xml:space="preserve">The industrial city of Sheikh Najjar: from the effects of war to the heart of production</t>
  </si>
  <si>
    <t xml:space="preserve">Industry News (industrynews.sy), citing Al-Hurriya</t>
  </si>
  <si>
    <t xml:space="preserve">2026 (undated; refers to 2026 plan)</t>
  </si>
  <si>
    <t xml:space="preserve">https://industrynews.sy/?p=66768</t>
  </si>
  <si>
    <t xml:space="preserve">4,412 ha; 6,048 plots; 546 new factories in 2025; 35 infrastructure projects in 2026</t>
  </si>
  <si>
    <t xml:space="preserve">Sheikh Najjar industrial city supplied with electricity 24 hours; additional substations</t>
  </si>
  <si>
    <t xml:space="preserve">Business2Business Syria</t>
  </si>
  <si>
    <t xml:space="preserve">2023-01-10</t>
  </si>
  <si>
    <t xml:space="preserve">https://b2b-sy.com/syria/cat-10/1033360938/</t>
  </si>
  <si>
    <t xml:space="preserve">New 60 MW and 30 MW substations; 835 facilities in 2023</t>
  </si>
  <si>
    <t xml:space="preserve">S38</t>
  </si>
  <si>
    <t xml:space="preserve">Production wheel currently turning in 960 facilities at Sheikh Najjar Industrial City</t>
  </si>
  <si>
    <t xml:space="preserve">2025-03-03</t>
  </si>
  <si>
    <t xml:space="preserve">https://archive.sana.sy/en/?p=348547</t>
  </si>
  <si>
    <t xml:space="preserve">960 facilities; electrical network described as dilapidated</t>
  </si>
  <si>
    <t xml:space="preserve">S39</t>
  </si>
  <si>
    <t xml:space="preserve">Tender: photovoltaic project over and around ground water tanks in the Industrial City of Aleppo</t>
  </si>
  <si>
    <t xml:space="preserve">GlobalTenders</t>
  </si>
  <si>
    <t xml:space="preserve">2026-07-09</t>
  </si>
  <si>
    <t xml:space="preserve">https://www.globaltenders.com/tender-detail/investing-in-the-empty-spaces-available-abov-g0epODVFgBxjkO5G</t>
  </si>
  <si>
    <t xml:space="preserve">Evidence of in-zone PV procurement</t>
  </si>
  <si>
    <t xml:space="preserve">S40</t>
  </si>
  <si>
    <t xml:space="preserve">Establishing renewable energy companies in Syria 2026</t>
  </si>
  <si>
    <t xml:space="preserve">Gars Legal (law firm commentary)</t>
  </si>
  <si>
    <t xml:space="preserve">2026-09-28</t>
  </si>
  <si>
    <t xml:space="preserve">https://garslegal.com/renewable-energy-company-formation-syria/</t>
  </si>
  <si>
    <t xml:space="preserve">Direct B2B sales in industrial cities; licensing steps (commentary, to be confirmed by counsel)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</si>
</sst>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0.0000"/>
    <numFmt numFmtId="167" formatCode="#,##0"/>
    <numFmt numFmtId="168" formatCode="0.000"/>
    <numFmt numFmtId="169" formatCode="0.00"/>
    <numFmt numFmtId="170" formatCode="0.00%"/>
    <numFmt numFmtId="171" formatCode="0"/>
    <numFmt numFmtId="172" formatCode="0.0%"/>
    <numFmt numFmtId="173" formatCode="0.0"/>
    <numFmt numFmtId="174" formatCode="#,##0.000000"/>
    <numFmt numFmtId="175" formatCode="#,##0.000"/>
    <numFmt numFmtId="176" formatCode="0.0000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1F3A5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FF7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0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customFormat="false" ht="15" hidden="false" customHeight="false" outlineLevel="0" collapsed="false">
      <c r="A2" s="5" t="s">
        <v>20</v>
      </c>
      <c r="B2" s="6" t="n">
        <v>36.27</v>
      </c>
      <c r="C2" s="5" t="s">
        <v>21</v>
      </c>
      <c r="D2" s="5" t="s">
        <v>22</v>
      </c>
      <c r="E2" s="5" t="s">
        <v>23</v>
      </c>
      <c r="F2" s="7" t="s">
        <v>24</v>
      </c>
    </row>
    <row r="3" customFormat="false" ht="15" hidden="false" customHeight="false" outlineLevel="0" collapsed="false">
      <c r="A3" s="5" t="s">
        <v>25</v>
      </c>
      <c r="B3" s="6" t="n">
        <v>37.3</v>
      </c>
      <c r="C3" s="5" t="s">
        <v>26</v>
      </c>
      <c r="D3" s="5" t="s">
        <v>22</v>
      </c>
      <c r="E3" s="5" t="s">
        <v>23</v>
      </c>
      <c r="F3" s="7" t="s">
        <v>27</v>
      </c>
    </row>
    <row r="4" customFormat="false" ht="15" hidden="false" customHeight="false" outlineLevel="0" collapsed="false">
      <c r="A4" s="5" t="s">
        <v>28</v>
      </c>
      <c r="B4" s="6" t="n">
        <v>1654.53</v>
      </c>
      <c r="C4" s="5" t="s">
        <v>29</v>
      </c>
      <c r="D4" s="5" t="s">
        <v>30</v>
      </c>
      <c r="E4" s="5" t="s">
        <v>31</v>
      </c>
      <c r="F4" s="7" t="s">
        <v>32</v>
      </c>
    </row>
    <row r="5" customFormat="false" ht="15" hidden="false" customHeight="false" outlineLevel="0" collapsed="false">
      <c r="A5" s="5" t="s">
        <v>33</v>
      </c>
      <c r="B5" s="6" t="n">
        <v>41</v>
      </c>
      <c r="C5" s="5" t="s">
        <v>29</v>
      </c>
      <c r="D5" s="5" t="s">
        <v>30</v>
      </c>
      <c r="E5" s="5" t="s">
        <v>31</v>
      </c>
      <c r="F5" s="7" t="s">
        <v>34</v>
      </c>
    </row>
    <row r="6" customFormat="false" ht="15" hidden="false" customHeight="false" outlineLevel="0" collapsed="false">
      <c r="A6" s="5" t="s">
        <v>35</v>
      </c>
      <c r="B6" s="6" t="n">
        <v>1761.3</v>
      </c>
      <c r="C6" s="5" t="s">
        <v>29</v>
      </c>
      <c r="D6" s="5" t="s">
        <v>30</v>
      </c>
      <c r="E6" s="5" t="s">
        <v>36</v>
      </c>
      <c r="F6" s="7" t="s">
        <v>37</v>
      </c>
    </row>
    <row r="7" customFormat="false" ht="15" hidden="false" customHeight="false" outlineLevel="0" collapsed="false">
      <c r="A7" s="5" t="s">
        <v>38</v>
      </c>
      <c r="B7" s="8" t="n">
        <v>0.05</v>
      </c>
      <c r="C7" s="5" t="s">
        <v>39</v>
      </c>
      <c r="D7" s="5" t="s">
        <v>22</v>
      </c>
      <c r="E7" s="5"/>
      <c r="F7" s="7" t="s">
        <v>40</v>
      </c>
    </row>
    <row r="8" customFormat="false" ht="15" hidden="false" customHeight="false" outlineLevel="0" collapsed="false">
      <c r="A8" s="5" t="s">
        <v>41</v>
      </c>
      <c r="B8" s="6" t="n">
        <v>60</v>
      </c>
      <c r="C8" s="5" t="s">
        <v>42</v>
      </c>
      <c r="D8" s="5" t="s">
        <v>22</v>
      </c>
      <c r="E8" s="5"/>
      <c r="F8" s="7" t="s">
        <v>43</v>
      </c>
    </row>
    <row r="9" customFormat="false" ht="15" hidden="false" customHeight="false" outlineLevel="0" collapsed="false">
      <c r="A9" s="5" t="s">
        <v>44</v>
      </c>
      <c r="B9" s="6" t="n">
        <v>50</v>
      </c>
      <c r="C9" s="5" t="s">
        <v>45</v>
      </c>
      <c r="D9" s="5" t="s">
        <v>22</v>
      </c>
      <c r="E9" s="5"/>
      <c r="F9" s="7" t="s">
        <v>46</v>
      </c>
    </row>
    <row r="10" customFormat="false" ht="15" hidden="false" customHeight="false" outlineLevel="0" collapsed="false">
      <c r="A10" s="5" t="s">
        <v>47</v>
      </c>
      <c r="B10" s="8" t="n">
        <v>0.985</v>
      </c>
      <c r="C10" s="5" t="s">
        <v>48</v>
      </c>
      <c r="D10" s="5" t="s">
        <v>22</v>
      </c>
      <c r="E10" s="5"/>
      <c r="F10" s="7" t="s">
        <v>49</v>
      </c>
    </row>
    <row r="11" customFormat="false" ht="15" hidden="false" customHeight="false" outlineLevel="0" collapsed="false">
      <c r="A11" s="5" t="s">
        <v>50</v>
      </c>
      <c r="B11" s="8" t="n">
        <v>0.01</v>
      </c>
      <c r="C11" s="5" t="s">
        <v>48</v>
      </c>
      <c r="D11" s="5" t="s">
        <v>30</v>
      </c>
      <c r="E11" s="5" t="s">
        <v>51</v>
      </c>
      <c r="F11" s="7" t="s">
        <v>52</v>
      </c>
    </row>
    <row r="12" customFormat="false" ht="15" hidden="false" customHeight="false" outlineLevel="0" collapsed="false">
      <c r="A12" s="5" t="s">
        <v>53</v>
      </c>
      <c r="B12" s="8" t="n">
        <v>0.004</v>
      </c>
      <c r="C12" s="5" t="s">
        <v>54</v>
      </c>
      <c r="D12" s="5" t="s">
        <v>30</v>
      </c>
      <c r="E12" s="5" t="s">
        <v>51</v>
      </c>
      <c r="F12" s="7" t="s">
        <v>55</v>
      </c>
    </row>
    <row r="13" customFormat="false" ht="15" hidden="false" customHeight="false" outlineLevel="0" collapsed="false">
      <c r="A13" s="5" t="s">
        <v>56</v>
      </c>
      <c r="B13" s="6" t="n">
        <v>1.3</v>
      </c>
      <c r="C13" s="5" t="s">
        <v>57</v>
      </c>
      <c r="D13" s="5" t="s">
        <v>22</v>
      </c>
      <c r="E13" s="5" t="s">
        <v>58</v>
      </c>
      <c r="F13" s="7" t="s">
        <v>59</v>
      </c>
    </row>
    <row r="14" customFormat="false" ht="15" hidden="false" customHeight="false" outlineLevel="0" collapsed="false">
      <c r="A14" s="5" t="s">
        <v>60</v>
      </c>
      <c r="B14" s="8" t="n">
        <v>0.114</v>
      </c>
      <c r="C14" s="5" t="s">
        <v>61</v>
      </c>
      <c r="D14" s="5" t="s">
        <v>30</v>
      </c>
      <c r="E14" s="5" t="s">
        <v>62</v>
      </c>
      <c r="F14" s="7" t="s">
        <v>63</v>
      </c>
    </row>
    <row r="15" customFormat="false" ht="15" hidden="false" customHeight="false" outlineLevel="0" collapsed="false">
      <c r="A15" s="5" t="s">
        <v>64</v>
      </c>
      <c r="B15" s="8" t="n">
        <v>0.012</v>
      </c>
      <c r="C15" s="5" t="s">
        <v>61</v>
      </c>
      <c r="D15" s="5" t="s">
        <v>22</v>
      </c>
      <c r="E15" s="5"/>
      <c r="F15" s="7" t="s">
        <v>65</v>
      </c>
    </row>
    <row r="16" customFormat="false" ht="15" hidden="false" customHeight="false" outlineLevel="0" collapsed="false">
      <c r="A16" s="5" t="s">
        <v>66</v>
      </c>
      <c r="B16" s="8" t="n">
        <v>0.03</v>
      </c>
      <c r="C16" s="5" t="s">
        <v>61</v>
      </c>
      <c r="D16" s="5" t="s">
        <v>22</v>
      </c>
      <c r="E16" s="5" t="s">
        <v>67</v>
      </c>
      <c r="F16" s="7" t="s">
        <v>68</v>
      </c>
    </row>
    <row r="17" customFormat="false" ht="15" hidden="false" customHeight="false" outlineLevel="0" collapsed="false">
      <c r="A17" s="5" t="s">
        <v>69</v>
      </c>
      <c r="B17" s="8" t="n">
        <v>0.065</v>
      </c>
      <c r="C17" s="5" t="s">
        <v>61</v>
      </c>
      <c r="D17" s="5" t="s">
        <v>22</v>
      </c>
      <c r="E17" s="5"/>
      <c r="F17" s="7" t="s">
        <v>70</v>
      </c>
    </row>
    <row r="18" customFormat="false" ht="15" hidden="false" customHeight="false" outlineLevel="0" collapsed="false">
      <c r="A18" s="5" t="s">
        <v>71</v>
      </c>
      <c r="B18" s="8" t="n">
        <v>0.055</v>
      </c>
      <c r="C18" s="5" t="s">
        <v>61</v>
      </c>
      <c r="D18" s="5" t="s">
        <v>22</v>
      </c>
      <c r="E18" s="5"/>
      <c r="F18" s="7" t="s">
        <v>72</v>
      </c>
    </row>
    <row r="19" customFormat="false" ht="15" hidden="false" customHeight="false" outlineLevel="0" collapsed="false">
      <c r="A19" s="5" t="s">
        <v>73</v>
      </c>
      <c r="B19" s="6" t="n">
        <v>4000000</v>
      </c>
      <c r="C19" s="5" t="s">
        <v>74</v>
      </c>
      <c r="D19" s="5" t="s">
        <v>22</v>
      </c>
      <c r="E19" s="5" t="s">
        <v>75</v>
      </c>
      <c r="F19" s="7" t="s">
        <v>76</v>
      </c>
    </row>
    <row r="20" customFormat="false" ht="15" hidden="false" customHeight="false" outlineLevel="0" collapsed="false">
      <c r="A20" s="5" t="s">
        <v>77</v>
      </c>
      <c r="B20" s="8" t="n">
        <v>0.035</v>
      </c>
      <c r="C20" s="5" t="s">
        <v>61</v>
      </c>
      <c r="D20" s="5" t="s">
        <v>22</v>
      </c>
      <c r="E20" s="5"/>
      <c r="F20" s="7" t="s">
        <v>78</v>
      </c>
    </row>
    <row r="21" customFormat="false" ht="15" hidden="false" customHeight="false" outlineLevel="0" collapsed="false">
      <c r="A21" s="5" t="s">
        <v>79</v>
      </c>
      <c r="B21" s="8" t="n">
        <v>0.04</v>
      </c>
      <c r="C21" s="5" t="s">
        <v>61</v>
      </c>
      <c r="D21" s="5" t="s">
        <v>22</v>
      </c>
      <c r="E21" s="5"/>
      <c r="F21" s="7" t="s">
        <v>80</v>
      </c>
    </row>
    <row r="22" customFormat="false" ht="15" hidden="false" customHeight="false" outlineLevel="0" collapsed="false">
      <c r="A22" s="5" t="s">
        <v>81</v>
      </c>
      <c r="B22" s="8" t="n">
        <v>0.012</v>
      </c>
      <c r="C22" s="5" t="s">
        <v>61</v>
      </c>
      <c r="D22" s="5" t="s">
        <v>22</v>
      </c>
      <c r="E22" s="5"/>
      <c r="F22" s="7" t="s">
        <v>82</v>
      </c>
    </row>
    <row r="23" customFormat="false" ht="15" hidden="false" customHeight="false" outlineLevel="0" collapsed="false">
      <c r="A23" s="5" t="s">
        <v>83</v>
      </c>
      <c r="B23" s="8" t="n">
        <v>0.08</v>
      </c>
      <c r="C23" s="5" t="s">
        <v>84</v>
      </c>
      <c r="D23" s="5" t="s">
        <v>22</v>
      </c>
      <c r="E23" s="5"/>
      <c r="F23" s="7" t="s">
        <v>85</v>
      </c>
    </row>
    <row r="24" customFormat="false" ht="15" hidden="false" customHeight="false" outlineLevel="0" collapsed="false">
      <c r="A24" s="5" t="s">
        <v>86</v>
      </c>
      <c r="B24" s="6" t="n">
        <v>1200000</v>
      </c>
      <c r="C24" s="5" t="s">
        <v>74</v>
      </c>
      <c r="D24" s="5" t="s">
        <v>22</v>
      </c>
      <c r="E24" s="5"/>
      <c r="F24" s="7" t="s">
        <v>87</v>
      </c>
    </row>
    <row r="25" customFormat="false" ht="15" hidden="false" customHeight="false" outlineLevel="0" collapsed="false">
      <c r="A25" s="5" t="s">
        <v>88</v>
      </c>
      <c r="B25" s="8" t="n">
        <v>0.015</v>
      </c>
      <c r="C25" s="5" t="s">
        <v>89</v>
      </c>
      <c r="D25" s="5" t="s">
        <v>22</v>
      </c>
      <c r="E25" s="5"/>
      <c r="F25" s="7" t="s">
        <v>90</v>
      </c>
    </row>
    <row r="26" customFormat="false" ht="15" hidden="false" customHeight="false" outlineLevel="0" collapsed="false">
      <c r="A26" s="5" t="s">
        <v>91</v>
      </c>
      <c r="B26" s="8" t="n">
        <v>0.1</v>
      </c>
      <c r="C26" s="5" t="s">
        <v>89</v>
      </c>
      <c r="D26" s="5" t="s">
        <v>22</v>
      </c>
      <c r="E26" s="5"/>
      <c r="F26" s="7" t="s">
        <v>92</v>
      </c>
    </row>
    <row r="27" customFormat="false" ht="15" hidden="false" customHeight="false" outlineLevel="0" collapsed="false">
      <c r="A27" s="5" t="s">
        <v>93</v>
      </c>
      <c r="B27" s="6" t="n">
        <v>9</v>
      </c>
      <c r="C27" s="5" t="s">
        <v>94</v>
      </c>
      <c r="D27" s="5" t="s">
        <v>22</v>
      </c>
      <c r="E27" s="5" t="s">
        <v>95</v>
      </c>
      <c r="F27" s="7" t="s">
        <v>96</v>
      </c>
    </row>
    <row r="28" customFormat="false" ht="15" hidden="false" customHeight="false" outlineLevel="0" collapsed="false">
      <c r="A28" s="5" t="s">
        <v>97</v>
      </c>
      <c r="B28" s="8" t="n">
        <v>0.006</v>
      </c>
      <c r="C28" s="5" t="s">
        <v>98</v>
      </c>
      <c r="D28" s="5" t="s">
        <v>22</v>
      </c>
      <c r="E28" s="5"/>
      <c r="F28" s="7" t="s">
        <v>99</v>
      </c>
    </row>
    <row r="29" customFormat="false" ht="15" hidden="false" customHeight="false" outlineLevel="0" collapsed="false">
      <c r="A29" s="5" t="s">
        <v>100</v>
      </c>
      <c r="B29" s="8" t="n">
        <v>0.008</v>
      </c>
      <c r="C29" s="5" t="s">
        <v>101</v>
      </c>
      <c r="D29" s="5" t="s">
        <v>22</v>
      </c>
      <c r="E29" s="5"/>
      <c r="F29" s="7" t="s">
        <v>102</v>
      </c>
    </row>
    <row r="30" customFormat="false" ht="15" hidden="false" customHeight="false" outlineLevel="0" collapsed="false">
      <c r="A30" s="5" t="s">
        <v>103</v>
      </c>
      <c r="B30" s="6" t="n">
        <v>250000</v>
      </c>
      <c r="C30" s="5" t="s">
        <v>104</v>
      </c>
      <c r="D30" s="5" t="s">
        <v>22</v>
      </c>
      <c r="E30" s="5"/>
      <c r="F30" s="7" t="s">
        <v>105</v>
      </c>
    </row>
    <row r="31" customFormat="false" ht="15" hidden="false" customHeight="false" outlineLevel="0" collapsed="false">
      <c r="A31" s="5" t="s">
        <v>106</v>
      </c>
      <c r="B31" s="6" t="n">
        <v>600</v>
      </c>
      <c r="C31" s="5" t="s">
        <v>107</v>
      </c>
      <c r="D31" s="5" t="s">
        <v>22</v>
      </c>
      <c r="E31" s="5"/>
      <c r="F31" s="7" t="s">
        <v>108</v>
      </c>
    </row>
    <row r="32" customFormat="false" ht="15" hidden="false" customHeight="false" outlineLevel="0" collapsed="false">
      <c r="A32" s="5" t="s">
        <v>109</v>
      </c>
      <c r="B32" s="6" t="n">
        <v>300000</v>
      </c>
      <c r="C32" s="5" t="s">
        <v>104</v>
      </c>
      <c r="D32" s="5" t="s">
        <v>22</v>
      </c>
      <c r="E32" s="5"/>
      <c r="F32" s="7" t="s">
        <v>110</v>
      </c>
    </row>
    <row r="33" customFormat="false" ht="15" hidden="false" customHeight="false" outlineLevel="0" collapsed="false">
      <c r="A33" s="5" t="s">
        <v>111</v>
      </c>
      <c r="B33" s="8" t="n">
        <v>0.005</v>
      </c>
      <c r="C33" s="5" t="s">
        <v>112</v>
      </c>
      <c r="D33" s="5" t="s">
        <v>22</v>
      </c>
      <c r="E33" s="5" t="s">
        <v>113</v>
      </c>
      <c r="F33" s="7" t="s">
        <v>114</v>
      </c>
    </row>
    <row r="34" customFormat="false" ht="15" hidden="false" customHeight="false" outlineLevel="0" collapsed="false">
      <c r="A34" s="5" t="s">
        <v>115</v>
      </c>
      <c r="B34" s="8" t="n">
        <v>0.025</v>
      </c>
      <c r="C34" s="5" t="s">
        <v>54</v>
      </c>
      <c r="D34" s="5" t="s">
        <v>22</v>
      </c>
      <c r="E34" s="5"/>
      <c r="F34" s="7" t="s">
        <v>116</v>
      </c>
    </row>
    <row r="35" customFormat="false" ht="15" hidden="false" customHeight="false" outlineLevel="0" collapsed="false">
      <c r="A35" s="5" t="s">
        <v>117</v>
      </c>
      <c r="B35" s="6" t="n">
        <v>13</v>
      </c>
      <c r="C35" s="5" t="s">
        <v>118</v>
      </c>
      <c r="D35" s="5" t="s">
        <v>22</v>
      </c>
      <c r="E35" s="5"/>
      <c r="F35" s="7" t="s">
        <v>119</v>
      </c>
    </row>
    <row r="36" customFormat="false" ht="15" hidden="false" customHeight="false" outlineLevel="0" collapsed="false">
      <c r="A36" s="5" t="s">
        <v>120</v>
      </c>
      <c r="B36" s="8" t="n">
        <v>0.025</v>
      </c>
      <c r="C36" s="5" t="s">
        <v>61</v>
      </c>
      <c r="D36" s="5" t="s">
        <v>22</v>
      </c>
      <c r="E36" s="5" t="s">
        <v>67</v>
      </c>
      <c r="F36" s="7" t="s">
        <v>121</v>
      </c>
    </row>
    <row r="37" customFormat="false" ht="15" hidden="false" customHeight="false" outlineLevel="0" collapsed="false">
      <c r="A37" s="5" t="s">
        <v>122</v>
      </c>
      <c r="B37" s="8" t="n">
        <v>0.1</v>
      </c>
      <c r="C37" s="5" t="s">
        <v>112</v>
      </c>
      <c r="D37" s="5" t="s">
        <v>22</v>
      </c>
      <c r="E37" s="5" t="s">
        <v>123</v>
      </c>
      <c r="F37" s="7" t="s">
        <v>124</v>
      </c>
    </row>
    <row r="38" customFormat="false" ht="15" hidden="false" customHeight="false" outlineLevel="0" collapsed="false">
      <c r="A38" s="5" t="s">
        <v>125</v>
      </c>
      <c r="B38" s="8" t="n">
        <v>0.01</v>
      </c>
      <c r="C38" s="5" t="s">
        <v>54</v>
      </c>
      <c r="D38" s="5" t="s">
        <v>22</v>
      </c>
      <c r="E38" s="5"/>
      <c r="F38" s="7" t="s">
        <v>126</v>
      </c>
    </row>
    <row r="39" customFormat="false" ht="15" hidden="false" customHeight="false" outlineLevel="0" collapsed="false">
      <c r="A39" s="5" t="s">
        <v>127</v>
      </c>
      <c r="B39" s="8" t="n">
        <v>0.97</v>
      </c>
      <c r="C39" s="5" t="s">
        <v>48</v>
      </c>
      <c r="D39" s="5" t="s">
        <v>22</v>
      </c>
      <c r="E39" s="5"/>
      <c r="F39" s="7" t="s">
        <v>128</v>
      </c>
    </row>
    <row r="40" customFormat="false" ht="15" hidden="false" customHeight="false" outlineLevel="0" collapsed="false">
      <c r="A40" s="5" t="s">
        <v>129</v>
      </c>
      <c r="B40" s="8" t="n">
        <v>0.03</v>
      </c>
      <c r="C40" s="5" t="s">
        <v>48</v>
      </c>
      <c r="D40" s="5" t="s">
        <v>22</v>
      </c>
      <c r="E40" s="5" t="s">
        <v>130</v>
      </c>
      <c r="F40" s="7" t="s">
        <v>131</v>
      </c>
    </row>
    <row r="41" customFormat="false" ht="15" hidden="false" customHeight="false" outlineLevel="0" collapsed="false">
      <c r="A41" s="5" t="s">
        <v>132</v>
      </c>
      <c r="B41" s="6" t="n">
        <v>60</v>
      </c>
      <c r="C41" s="5" t="s">
        <v>133</v>
      </c>
      <c r="D41" s="5" t="s">
        <v>22</v>
      </c>
      <c r="E41" s="5"/>
      <c r="F41" s="7" t="s">
        <v>134</v>
      </c>
    </row>
    <row r="42" customFormat="false" ht="15" hidden="false" customHeight="false" outlineLevel="0" collapsed="false">
      <c r="A42" s="5" t="s">
        <v>135</v>
      </c>
      <c r="B42" s="6" t="n">
        <v>25</v>
      </c>
      <c r="C42" s="5" t="s">
        <v>136</v>
      </c>
      <c r="D42" s="5" t="s">
        <v>22</v>
      </c>
      <c r="E42" s="5"/>
      <c r="F42" s="7" t="s">
        <v>137</v>
      </c>
    </row>
    <row r="43" customFormat="false" ht="15" hidden="false" customHeight="false" outlineLevel="0" collapsed="false">
      <c r="A43" s="5" t="s">
        <v>138</v>
      </c>
      <c r="B43" s="6" t="n">
        <v>17</v>
      </c>
      <c r="C43" s="5" t="s">
        <v>139</v>
      </c>
      <c r="D43" s="5" t="s">
        <v>30</v>
      </c>
      <c r="E43" s="5" t="s">
        <v>123</v>
      </c>
      <c r="F43" s="7" t="s">
        <v>140</v>
      </c>
    </row>
    <row r="44" customFormat="false" ht="15" hidden="false" customHeight="false" outlineLevel="0" collapsed="false">
      <c r="A44" s="5" t="s">
        <v>141</v>
      </c>
      <c r="B44" s="6" t="n">
        <v>18</v>
      </c>
      <c r="C44" s="5" t="s">
        <v>139</v>
      </c>
      <c r="D44" s="5" t="s">
        <v>30</v>
      </c>
      <c r="E44" s="5" t="s">
        <v>123</v>
      </c>
      <c r="F44" s="7" t="s">
        <v>142</v>
      </c>
    </row>
    <row r="45" customFormat="false" ht="15" hidden="false" customHeight="false" outlineLevel="0" collapsed="false">
      <c r="A45" s="5" t="s">
        <v>143</v>
      </c>
      <c r="B45" s="6" t="n">
        <v>122.5</v>
      </c>
      <c r="C45" s="5" t="s">
        <v>144</v>
      </c>
      <c r="D45" s="5" t="s">
        <v>30</v>
      </c>
      <c r="E45" s="5" t="s">
        <v>130</v>
      </c>
      <c r="F45" s="7" t="s">
        <v>145</v>
      </c>
    </row>
    <row r="46" customFormat="false" ht="15" hidden="false" customHeight="false" outlineLevel="0" collapsed="false">
      <c r="A46" s="5" t="s">
        <v>146</v>
      </c>
      <c r="B46" s="6" t="n">
        <v>140.5</v>
      </c>
      <c r="C46" s="5" t="s">
        <v>144</v>
      </c>
      <c r="D46" s="5" t="s">
        <v>30</v>
      </c>
      <c r="E46" s="5" t="s">
        <v>130</v>
      </c>
      <c r="F46" s="7" t="s">
        <v>147</v>
      </c>
    </row>
    <row r="47" customFormat="false" ht="15" hidden="false" customHeight="false" outlineLevel="0" collapsed="false">
      <c r="A47" s="5" t="s">
        <v>148</v>
      </c>
      <c r="B47" s="6" t="n">
        <v>150</v>
      </c>
      <c r="C47" s="5" t="s">
        <v>149</v>
      </c>
      <c r="D47" s="5" t="s">
        <v>30</v>
      </c>
      <c r="E47" s="5" t="s">
        <v>150</v>
      </c>
      <c r="F47" s="7" t="s">
        <v>151</v>
      </c>
    </row>
    <row r="48" customFormat="false" ht="15" hidden="false" customHeight="false" outlineLevel="0" collapsed="false">
      <c r="A48" s="5" t="s">
        <v>152</v>
      </c>
      <c r="B48" s="6" t="n">
        <v>175</v>
      </c>
      <c r="C48" s="5" t="s">
        <v>149</v>
      </c>
      <c r="D48" s="5" t="s">
        <v>30</v>
      </c>
      <c r="E48" s="5" t="s">
        <v>153</v>
      </c>
      <c r="F48" s="7" t="s">
        <v>154</v>
      </c>
    </row>
    <row r="49" customFormat="false" ht="15" hidden="false" customHeight="false" outlineLevel="0" collapsed="false">
      <c r="A49" s="5" t="s">
        <v>155</v>
      </c>
      <c r="B49" s="8" t="n">
        <v>0.28</v>
      </c>
      <c r="C49" s="5" t="s">
        <v>156</v>
      </c>
      <c r="D49" s="5" t="s">
        <v>22</v>
      </c>
      <c r="E49" s="5" t="s">
        <v>157</v>
      </c>
      <c r="F49" s="7" t="s">
        <v>158</v>
      </c>
    </row>
    <row r="50" customFormat="false" ht="15" hidden="false" customHeight="false" outlineLevel="0" collapsed="false">
      <c r="A50" s="5" t="s">
        <v>159</v>
      </c>
      <c r="B50" s="8" t="n">
        <v>0.03</v>
      </c>
      <c r="C50" s="5" t="s">
        <v>112</v>
      </c>
      <c r="D50" s="5" t="s">
        <v>22</v>
      </c>
      <c r="E50" s="5"/>
      <c r="F50" s="7" t="s">
        <v>160</v>
      </c>
    </row>
    <row r="51" customFormat="false" ht="15" hidden="false" customHeight="false" outlineLevel="0" collapsed="false">
      <c r="A51" s="5" t="s">
        <v>161</v>
      </c>
      <c r="B51" s="6" t="n">
        <v>2.697</v>
      </c>
      <c r="C51" s="5" t="s">
        <v>162</v>
      </c>
      <c r="D51" s="5" t="s">
        <v>163</v>
      </c>
      <c r="E51" s="5" t="s">
        <v>164</v>
      </c>
      <c r="F51" s="7" t="s">
        <v>165</v>
      </c>
    </row>
    <row r="52" customFormat="false" ht="15" hidden="false" customHeight="false" outlineLevel="0" collapsed="false">
      <c r="A52" s="5" t="s">
        <v>166</v>
      </c>
      <c r="B52" s="8" t="n">
        <v>0.04</v>
      </c>
      <c r="C52" s="5" t="s">
        <v>112</v>
      </c>
      <c r="D52" s="5" t="s">
        <v>30</v>
      </c>
      <c r="E52" s="5" t="s">
        <v>167</v>
      </c>
      <c r="F52" s="7" t="s">
        <v>168</v>
      </c>
    </row>
    <row r="53" customFormat="false" ht="15" hidden="false" customHeight="false" outlineLevel="0" collapsed="false">
      <c r="A53" s="5" t="s">
        <v>169</v>
      </c>
      <c r="B53" s="8" t="n">
        <v>0.06</v>
      </c>
      <c r="C53" s="5" t="s">
        <v>112</v>
      </c>
      <c r="D53" s="5" t="s">
        <v>30</v>
      </c>
      <c r="E53" s="5" t="s">
        <v>167</v>
      </c>
      <c r="F53" s="7" t="s">
        <v>170</v>
      </c>
    </row>
    <row r="54" customFormat="false" ht="15" hidden="false" customHeight="false" outlineLevel="0" collapsed="false">
      <c r="A54" s="5" t="s">
        <v>171</v>
      </c>
      <c r="B54" s="8" t="n">
        <v>0.1</v>
      </c>
      <c r="C54" s="5" t="s">
        <v>48</v>
      </c>
      <c r="D54" s="5" t="s">
        <v>30</v>
      </c>
      <c r="E54" s="5" t="s">
        <v>172</v>
      </c>
      <c r="F54" s="7" t="s">
        <v>173</v>
      </c>
    </row>
    <row r="55" customFormat="false" ht="15" hidden="false" customHeight="false" outlineLevel="0" collapsed="false">
      <c r="A55" s="5" t="s">
        <v>174</v>
      </c>
      <c r="B55" s="8" t="n">
        <v>0.75</v>
      </c>
      <c r="C55" s="5" t="s">
        <v>48</v>
      </c>
      <c r="D55" s="5" t="s">
        <v>30</v>
      </c>
      <c r="E55" s="5" t="s">
        <v>175</v>
      </c>
      <c r="F55" s="7" t="s">
        <v>176</v>
      </c>
    </row>
    <row r="56" customFormat="false" ht="15" hidden="false" customHeight="false" outlineLevel="0" collapsed="false">
      <c r="A56" s="5" t="s">
        <v>177</v>
      </c>
      <c r="B56" s="6" t="n">
        <v>10</v>
      </c>
      <c r="C56" s="5" t="s">
        <v>136</v>
      </c>
      <c r="D56" s="5" t="s">
        <v>30</v>
      </c>
      <c r="E56" s="5" t="s">
        <v>175</v>
      </c>
      <c r="F56" s="7"/>
    </row>
    <row r="57" customFormat="false" ht="15" hidden="false" customHeight="false" outlineLevel="0" collapsed="false">
      <c r="A57" s="5" t="s">
        <v>178</v>
      </c>
      <c r="B57" s="6" t="n">
        <v>20</v>
      </c>
      <c r="C57" s="5" t="s">
        <v>136</v>
      </c>
      <c r="D57" s="5" t="s">
        <v>22</v>
      </c>
      <c r="E57" s="5"/>
      <c r="F57" s="7" t="s">
        <v>179</v>
      </c>
    </row>
    <row r="58" customFormat="false" ht="15" hidden="false" customHeight="false" outlineLevel="0" collapsed="false">
      <c r="A58" s="5" t="s">
        <v>180</v>
      </c>
      <c r="B58" s="8" t="n">
        <v>0.6</v>
      </c>
      <c r="C58" s="5" t="s">
        <v>181</v>
      </c>
      <c r="D58" s="5" t="s">
        <v>22</v>
      </c>
      <c r="E58" s="5"/>
      <c r="F58" s="7" t="s">
        <v>182</v>
      </c>
    </row>
    <row r="59" customFormat="false" ht="15" hidden="false" customHeight="false" outlineLevel="0" collapsed="false">
      <c r="A59" s="5" t="s">
        <v>183</v>
      </c>
      <c r="B59" s="8" t="n">
        <v>0.0511</v>
      </c>
      <c r="C59" s="5" t="s">
        <v>48</v>
      </c>
      <c r="D59" s="5" t="s">
        <v>30</v>
      </c>
      <c r="E59" s="5" t="s">
        <v>184</v>
      </c>
      <c r="F59" s="7" t="s">
        <v>185</v>
      </c>
    </row>
    <row r="60" customFormat="false" ht="15" hidden="false" customHeight="false" outlineLevel="0" collapsed="false">
      <c r="A60" s="5" t="s">
        <v>186</v>
      </c>
      <c r="B60" s="8" t="n">
        <v>0.0521</v>
      </c>
      <c r="C60" s="5" t="s">
        <v>48</v>
      </c>
      <c r="D60" s="5" t="s">
        <v>30</v>
      </c>
      <c r="E60" s="5" t="s">
        <v>184</v>
      </c>
      <c r="F60" s="7" t="s">
        <v>187</v>
      </c>
    </row>
    <row r="61" customFormat="false" ht="15" hidden="false" customHeight="false" outlineLevel="0" collapsed="false">
      <c r="A61" s="5" t="s">
        <v>188</v>
      </c>
      <c r="B61" s="8" t="n">
        <v>0.0387</v>
      </c>
      <c r="C61" s="5" t="s">
        <v>48</v>
      </c>
      <c r="D61" s="5" t="s">
        <v>30</v>
      </c>
      <c r="E61" s="5" t="s">
        <v>189</v>
      </c>
      <c r="F61" s="7" t="s">
        <v>190</v>
      </c>
    </row>
    <row r="62" customFormat="false" ht="15" hidden="false" customHeight="false" outlineLevel="0" collapsed="false">
      <c r="A62" s="5" t="s">
        <v>191</v>
      </c>
      <c r="B62" s="8" t="n">
        <v>0.045</v>
      </c>
      <c r="C62" s="5" t="s">
        <v>48</v>
      </c>
      <c r="D62" s="5" t="s">
        <v>22</v>
      </c>
      <c r="E62" s="5"/>
      <c r="F62" s="7" t="s">
        <v>192</v>
      </c>
    </row>
    <row r="63" customFormat="false" ht="15" hidden="false" customHeight="false" outlineLevel="0" collapsed="false">
      <c r="A63" s="5" t="s">
        <v>193</v>
      </c>
      <c r="B63" s="6" t="n">
        <v>12</v>
      </c>
      <c r="C63" s="5" t="s">
        <v>194</v>
      </c>
      <c r="D63" s="5" t="s">
        <v>22</v>
      </c>
      <c r="E63" s="5"/>
      <c r="F63" s="7" t="s">
        <v>195</v>
      </c>
    </row>
    <row r="64" customFormat="false" ht="15" hidden="false" customHeight="false" outlineLevel="0" collapsed="false">
      <c r="A64" s="5" t="s">
        <v>196</v>
      </c>
      <c r="B64" s="8" t="n">
        <v>0.02</v>
      </c>
      <c r="C64" s="5" t="s">
        <v>197</v>
      </c>
      <c r="D64" s="5" t="s">
        <v>22</v>
      </c>
      <c r="E64" s="5"/>
      <c r="F64" s="7" t="s">
        <v>198</v>
      </c>
    </row>
    <row r="65" customFormat="false" ht="15" hidden="false" customHeight="false" outlineLevel="0" collapsed="false">
      <c r="A65" s="5" t="s">
        <v>199</v>
      </c>
      <c r="B65" s="8" t="n">
        <v>0.5</v>
      </c>
      <c r="C65" s="5" t="s">
        <v>136</v>
      </c>
      <c r="D65" s="5" t="s">
        <v>22</v>
      </c>
      <c r="E65" s="5"/>
      <c r="F65" s="7" t="s">
        <v>200</v>
      </c>
    </row>
    <row r="66" customFormat="false" ht="15" hidden="false" customHeight="false" outlineLevel="0" collapsed="false">
      <c r="A66" s="5" t="s">
        <v>201</v>
      </c>
      <c r="B66" s="8" t="n">
        <v>0.85</v>
      </c>
      <c r="C66" s="5"/>
      <c r="D66" s="5" t="s">
        <v>22</v>
      </c>
      <c r="E66" s="5"/>
      <c r="F66" s="7" t="s">
        <v>202</v>
      </c>
    </row>
    <row r="67" customFormat="false" ht="15" hidden="false" customHeight="false" outlineLevel="0" collapsed="false">
      <c r="A67" s="5" t="s">
        <v>203</v>
      </c>
      <c r="B67" s="8" t="n">
        <v>0.0423</v>
      </c>
      <c r="C67" s="5" t="s">
        <v>48</v>
      </c>
      <c r="D67" s="5" t="s">
        <v>30</v>
      </c>
      <c r="E67" s="5" t="s">
        <v>204</v>
      </c>
      <c r="F67" s="7" t="s">
        <v>205</v>
      </c>
    </row>
    <row r="68" customFormat="false" ht="15" hidden="false" customHeight="false" outlineLevel="0" collapsed="false">
      <c r="A68" s="5" t="s">
        <v>206</v>
      </c>
      <c r="B68" s="8" t="n">
        <v>0.1554</v>
      </c>
      <c r="C68" s="5" t="s">
        <v>48</v>
      </c>
      <c r="D68" s="5" t="s">
        <v>30</v>
      </c>
      <c r="E68" s="5" t="s">
        <v>204</v>
      </c>
      <c r="F68" s="7" t="s">
        <v>207</v>
      </c>
    </row>
    <row r="69" customFormat="false" ht="15" hidden="false" customHeight="false" outlineLevel="0" collapsed="false">
      <c r="A69" s="5" t="s">
        <v>208</v>
      </c>
      <c r="B69" s="6" t="n">
        <v>1.15</v>
      </c>
      <c r="C69" s="5" t="s">
        <v>209</v>
      </c>
      <c r="D69" s="5" t="s">
        <v>22</v>
      </c>
      <c r="E69" s="5"/>
      <c r="F69" s="7" t="s">
        <v>210</v>
      </c>
    </row>
    <row r="70" customFormat="false" ht="15" hidden="false" customHeight="false" outlineLevel="0" collapsed="false">
      <c r="A70" s="5" t="s">
        <v>211</v>
      </c>
      <c r="B70" s="6" t="n">
        <v>1.3</v>
      </c>
      <c r="C70" s="5" t="s">
        <v>209</v>
      </c>
      <c r="D70" s="5" t="s">
        <v>22</v>
      </c>
      <c r="E70" s="5"/>
      <c r="F70" s="7" t="s">
        <v>212</v>
      </c>
    </row>
    <row r="71" customFormat="false" ht="15" hidden="false" customHeight="false" outlineLevel="0" collapsed="false">
      <c r="A71" s="5" t="s">
        <v>213</v>
      </c>
      <c r="B71" s="6" t="n">
        <v>20</v>
      </c>
      <c r="C71" s="5" t="s">
        <v>214</v>
      </c>
      <c r="D71" s="5" t="s">
        <v>22</v>
      </c>
      <c r="E71" s="5"/>
      <c r="F71" s="7" t="s">
        <v>215</v>
      </c>
    </row>
    <row r="72" customFormat="false" ht="15" hidden="false" customHeight="false" outlineLevel="0" collapsed="false">
      <c r="A72" s="5" t="s">
        <v>216</v>
      </c>
      <c r="B72" s="6" t="n">
        <v>80</v>
      </c>
      <c r="C72" s="5" t="s">
        <v>217</v>
      </c>
      <c r="D72" s="5" t="s">
        <v>22</v>
      </c>
      <c r="E72" s="5"/>
      <c r="F72" s="7"/>
    </row>
    <row r="73" customFormat="false" ht="15" hidden="false" customHeight="false" outlineLevel="0" collapsed="false">
      <c r="A73" s="5" t="s">
        <v>218</v>
      </c>
      <c r="B73" s="6" t="n">
        <v>165</v>
      </c>
      <c r="C73" s="5" t="s">
        <v>112</v>
      </c>
      <c r="D73" s="5" t="s">
        <v>22</v>
      </c>
      <c r="E73" s="5" t="s">
        <v>219</v>
      </c>
      <c r="F73" s="7" t="s">
        <v>220</v>
      </c>
    </row>
    <row r="74" customFormat="false" ht="15" hidden="false" customHeight="false" outlineLevel="0" collapsed="false">
      <c r="A74" s="5" t="s">
        <v>221</v>
      </c>
      <c r="B74" s="8" t="n">
        <v>0.87</v>
      </c>
      <c r="C74" s="5" t="s">
        <v>48</v>
      </c>
      <c r="D74" s="5" t="s">
        <v>22</v>
      </c>
      <c r="E74" s="5" t="s">
        <v>219</v>
      </c>
      <c r="F74" s="7" t="s">
        <v>222</v>
      </c>
    </row>
    <row r="75" customFormat="false" ht="15" hidden="false" customHeight="false" outlineLevel="0" collapsed="false">
      <c r="A75" s="5" t="s">
        <v>223</v>
      </c>
      <c r="B75" s="8" t="n">
        <v>0.02</v>
      </c>
      <c r="C75" s="5" t="s">
        <v>54</v>
      </c>
      <c r="D75" s="5" t="s">
        <v>22</v>
      </c>
      <c r="E75" s="5"/>
      <c r="F75" s="7" t="s">
        <v>224</v>
      </c>
    </row>
    <row r="76" customFormat="false" ht="15" hidden="false" customHeight="false" outlineLevel="0" collapsed="false">
      <c r="A76" s="5" t="s">
        <v>225</v>
      </c>
      <c r="B76" s="8" t="n">
        <v>0.015</v>
      </c>
      <c r="C76" s="5" t="s">
        <v>226</v>
      </c>
      <c r="D76" s="5" t="s">
        <v>22</v>
      </c>
      <c r="E76" s="5"/>
      <c r="F76" s="7"/>
    </row>
    <row r="77" customFormat="false" ht="15" hidden="false" customHeight="false" outlineLevel="0" collapsed="false">
      <c r="A77" s="5" t="s">
        <v>227</v>
      </c>
      <c r="B77" s="6" t="n">
        <v>12</v>
      </c>
      <c r="C77" s="5" t="s">
        <v>118</v>
      </c>
      <c r="D77" s="5" t="s">
        <v>22</v>
      </c>
      <c r="E77" s="5"/>
      <c r="F77" s="7" t="s">
        <v>228</v>
      </c>
    </row>
    <row r="78" customFormat="false" ht="15" hidden="false" customHeight="false" outlineLevel="0" collapsed="false">
      <c r="A78" s="5" t="s">
        <v>229</v>
      </c>
      <c r="B78" s="6" t="n">
        <v>2000000</v>
      </c>
      <c r="C78" s="5" t="s">
        <v>74</v>
      </c>
      <c r="D78" s="5" t="s">
        <v>22</v>
      </c>
      <c r="E78" s="5"/>
      <c r="F78" s="7" t="s">
        <v>230</v>
      </c>
    </row>
    <row r="79" customFormat="false" ht="15" hidden="false" customHeight="false" outlineLevel="0" collapsed="false">
      <c r="A79" s="5" t="s">
        <v>231</v>
      </c>
      <c r="B79" s="8" t="n">
        <v>0.16</v>
      </c>
      <c r="C79" s="5" t="s">
        <v>112</v>
      </c>
      <c r="D79" s="5" t="s">
        <v>22</v>
      </c>
      <c r="E79" s="5"/>
      <c r="F79" s="7" t="s">
        <v>232</v>
      </c>
    </row>
    <row r="80" customFormat="false" ht="15" hidden="false" customHeight="false" outlineLevel="0" collapsed="false">
      <c r="A80" s="5" t="s">
        <v>233</v>
      </c>
      <c r="B80" s="6" t="n">
        <v>25</v>
      </c>
      <c r="C80" s="5" t="s">
        <v>136</v>
      </c>
      <c r="D80" s="5" t="s">
        <v>22</v>
      </c>
      <c r="E80" s="5"/>
      <c r="F80" s="7" t="s">
        <v>234</v>
      </c>
    </row>
    <row r="81" customFormat="false" ht="15" hidden="false" customHeight="false" outlineLevel="0" collapsed="false">
      <c r="A81" s="5" t="s">
        <v>235</v>
      </c>
      <c r="B81" s="6" t="n">
        <v>2028</v>
      </c>
      <c r="C81" s="5" t="s">
        <v>236</v>
      </c>
      <c r="D81" s="5" t="s">
        <v>22</v>
      </c>
      <c r="E81" s="5"/>
      <c r="F81" s="7" t="s">
        <v>237</v>
      </c>
    </row>
    <row r="82" customFormat="false" ht="15" hidden="false" customHeight="false" outlineLevel="0" collapsed="false">
      <c r="A82" s="5" t="s">
        <v>238</v>
      </c>
      <c r="B82" s="6" t="n">
        <v>10000</v>
      </c>
      <c r="C82" s="5" t="s">
        <v>239</v>
      </c>
      <c r="D82" s="5" t="s">
        <v>22</v>
      </c>
      <c r="E82" s="5"/>
      <c r="F82" s="7" t="s">
        <v>240</v>
      </c>
    </row>
    <row r="83" customFormat="false" ht="15" hidden="false" customHeight="false" outlineLevel="0" collapsed="false">
      <c r="A83" s="5" t="s">
        <v>241</v>
      </c>
      <c r="B83" s="8" t="n">
        <v>0.000319380397569291</v>
      </c>
      <c r="C83" s="5" t="s">
        <v>48</v>
      </c>
      <c r="D83" s="5" t="s">
        <v>163</v>
      </c>
      <c r="E83" s="5" t="s">
        <v>242</v>
      </c>
      <c r="F83" s="7" t="s">
        <v>243</v>
      </c>
    </row>
    <row r="84" customFormat="false" ht="15" hidden="false" customHeight="false" outlineLevel="0" collapsed="false">
      <c r="A84" s="5" t="s">
        <v>244</v>
      </c>
      <c r="B84" s="6" t="n">
        <v>30476.1247020141</v>
      </c>
      <c r="C84" s="5" t="s">
        <v>245</v>
      </c>
      <c r="D84" s="5" t="s">
        <v>163</v>
      </c>
      <c r="E84" s="5" t="s">
        <v>242</v>
      </c>
      <c r="F84" s="7" t="s">
        <v>246</v>
      </c>
    </row>
    <row r="85" customFormat="false" ht="15" hidden="false" customHeight="false" outlineLevel="0" collapsed="false">
      <c r="A85" s="5" t="s">
        <v>247</v>
      </c>
      <c r="B85" s="8" t="n">
        <v>0.870000000000011</v>
      </c>
      <c r="C85" s="5" t="s">
        <v>248</v>
      </c>
      <c r="D85" s="5" t="s">
        <v>163</v>
      </c>
      <c r="E85" s="5" t="s">
        <v>242</v>
      </c>
      <c r="F85" s="7" t="s">
        <v>249</v>
      </c>
    </row>
    <row r="86" customFormat="false" ht="15" hidden="false" customHeight="false" outlineLevel="0" collapsed="false">
      <c r="A86" s="5" t="s">
        <v>250</v>
      </c>
      <c r="B86" s="6" t="n">
        <v>1</v>
      </c>
      <c r="C86" s="5" t="s">
        <v>209</v>
      </c>
      <c r="D86" s="5" t="s">
        <v>22</v>
      </c>
      <c r="E86" s="5"/>
      <c r="F86" s="7" t="s">
        <v>251</v>
      </c>
    </row>
    <row r="87" customFormat="false" ht="15" hidden="false" customHeight="false" outlineLevel="0" collapsed="false">
      <c r="A87" s="5" t="s">
        <v>252</v>
      </c>
      <c r="B87" s="6" t="n">
        <v>1</v>
      </c>
      <c r="C87" s="5" t="s">
        <v>209</v>
      </c>
      <c r="D87" s="5" t="s">
        <v>22</v>
      </c>
      <c r="E87" s="5"/>
      <c r="F87" s="7" t="s">
        <v>253</v>
      </c>
    </row>
    <row r="88" customFormat="false" ht="15" hidden="false" customHeight="false" outlineLevel="0" collapsed="false">
      <c r="A88" s="5" t="s">
        <v>254</v>
      </c>
      <c r="B88" s="6" t="n">
        <v>1</v>
      </c>
      <c r="C88" s="5" t="s">
        <v>209</v>
      </c>
      <c r="D88" s="5" t="s">
        <v>22</v>
      </c>
      <c r="E88" s="5"/>
      <c r="F88" s="7" t="s">
        <v>255</v>
      </c>
    </row>
    <row r="89" customFormat="false" ht="15" hidden="false" customHeight="false" outlineLevel="0" collapsed="false">
      <c r="A89" s="5" t="s">
        <v>256</v>
      </c>
      <c r="B89" s="6" t="n">
        <v>0</v>
      </c>
      <c r="C89" s="5" t="s">
        <v>257</v>
      </c>
      <c r="D89" s="5" t="s">
        <v>22</v>
      </c>
      <c r="E89" s="5"/>
      <c r="F89" s="7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259</v>
      </c>
      <c r="B1" s="4" t="s">
        <v>74</v>
      </c>
      <c r="C1" s="4" t="s">
        <v>61</v>
      </c>
      <c r="D1" s="4" t="s">
        <v>260</v>
      </c>
    </row>
    <row r="2" customFormat="false" ht="15" hidden="false" customHeight="false" outlineLevel="0" collapsed="false">
      <c r="A2" s="0" t="s">
        <v>261</v>
      </c>
      <c r="B2" s="9" t="n">
        <f aca="false">in_c_modules*in_mwp*1000000</f>
        <v>6840000</v>
      </c>
      <c r="C2" s="10" t="n">
        <f aca="false">B2/(in_mwp*1000000)</f>
        <v>0.114</v>
      </c>
      <c r="D2" s="0" t="s">
        <v>262</v>
      </c>
    </row>
    <row r="3" customFormat="false" ht="15" hidden="false" customHeight="false" outlineLevel="0" collapsed="false">
      <c r="A3" s="0" t="s">
        <v>263</v>
      </c>
      <c r="B3" s="9" t="n">
        <f aca="false">in_c_logistics*in_mwp*1000000</f>
        <v>720000</v>
      </c>
      <c r="C3" s="10" t="n">
        <f aca="false">B3/(in_mwp*1000000)</f>
        <v>0.012</v>
      </c>
    </row>
    <row r="4" customFormat="false" ht="15" hidden="false" customHeight="false" outlineLevel="0" collapsed="false">
      <c r="A4" s="0" t="s">
        <v>264</v>
      </c>
      <c r="B4" s="9" t="n">
        <f aca="false">in_c_inverters*in_mwp*1000000</f>
        <v>1800000</v>
      </c>
      <c r="C4" s="10" t="n">
        <f aca="false">B4/(in_mwp*1000000)</f>
        <v>0.03</v>
      </c>
    </row>
    <row r="5" customFormat="false" ht="15" hidden="false" customHeight="false" outlineLevel="0" collapsed="false">
      <c r="A5" s="0" t="s">
        <v>265</v>
      </c>
      <c r="B5" s="9" t="n">
        <f aca="false">in_c_structure*in_mwp*1000000</f>
        <v>3900000</v>
      </c>
      <c r="C5" s="10" t="n">
        <f aca="false">B5/(in_mwp*1000000)</f>
        <v>0.065</v>
      </c>
    </row>
    <row r="6" customFormat="false" ht="15" hidden="false" customHeight="false" outlineLevel="0" collapsed="false">
      <c r="A6" s="0" t="s">
        <v>266</v>
      </c>
      <c r="B6" s="9" t="n">
        <f aca="false">in_c_elec_bos*in_mwp*1000000</f>
        <v>3300000</v>
      </c>
      <c r="C6" s="10" t="n">
        <f aca="false">B6/(in_mwp*1000000)</f>
        <v>0.055</v>
      </c>
    </row>
    <row r="7" customFormat="false" ht="15" hidden="false" customHeight="false" outlineLevel="0" collapsed="false">
      <c r="A7" s="0" t="s">
        <v>267</v>
      </c>
      <c r="B7" s="9" t="n">
        <f aca="false">in_c_substation_lump</f>
        <v>4000000</v>
      </c>
      <c r="C7" s="10" t="n">
        <f aca="false">B7/(in_mwp*1000000)</f>
        <v>0.0666666666666667</v>
      </c>
      <c r="D7" s="0" t="s">
        <v>268</v>
      </c>
    </row>
    <row r="8" customFormat="false" ht="15" hidden="false" customHeight="false" outlineLevel="0" collapsed="false">
      <c r="A8" s="0" t="s">
        <v>269</v>
      </c>
      <c r="B8" s="9" t="n">
        <f aca="false">in_c_civil*in_mwp*1000000</f>
        <v>2100000</v>
      </c>
      <c r="C8" s="10" t="n">
        <f aca="false">B8/(in_mwp*1000000)</f>
        <v>0.035</v>
      </c>
    </row>
    <row r="9" customFormat="false" ht="15" hidden="false" customHeight="false" outlineLevel="0" collapsed="false">
      <c r="A9" s="0" t="s">
        <v>270</v>
      </c>
      <c r="B9" s="9" t="n">
        <f aca="false">in_c_install*in_mwp*1000000</f>
        <v>2400000</v>
      </c>
      <c r="C9" s="10" t="n">
        <f aca="false">B9/(in_mwp*1000000)</f>
        <v>0.04</v>
      </c>
    </row>
    <row r="10" customFormat="false" ht="15" hidden="false" customHeight="false" outlineLevel="0" collapsed="false">
      <c r="A10" s="0" t="s">
        <v>271</v>
      </c>
      <c r="B10" s="9" t="n">
        <f aca="false">in_c_security_scada*in_mwp*1000000</f>
        <v>720000</v>
      </c>
      <c r="C10" s="10" t="n">
        <f aca="false">B10/(in_mwp*1000000)</f>
        <v>0.012</v>
      </c>
    </row>
    <row r="11" customFormat="false" ht="15" hidden="false" customHeight="false" outlineLevel="0" collapsed="false">
      <c r="A11" s="3" t="s">
        <v>272</v>
      </c>
      <c r="B11" s="11" t="n">
        <f aca="false">SUM(B2:B10)</f>
        <v>25780000</v>
      </c>
      <c r="C11" s="10" t="n">
        <f aca="false">B11/(in_mwp*1000000)</f>
        <v>0.429666666666667</v>
      </c>
    </row>
    <row r="12" customFormat="false" ht="15" hidden="false" customHeight="false" outlineLevel="0" collapsed="false">
      <c r="A12" s="0" t="s">
        <v>85</v>
      </c>
      <c r="B12" s="9" t="n">
        <f aca="false">B11*in_epc_margin</f>
        <v>2062400</v>
      </c>
      <c r="C12" s="10" t="n">
        <f aca="false">B12/(in_mwp*1000000)</f>
        <v>0.0343733333333333</v>
      </c>
    </row>
    <row r="13" customFormat="false" ht="15" hidden="false" customHeight="false" outlineLevel="0" collapsed="false">
      <c r="A13" s="3" t="s">
        <v>273</v>
      </c>
      <c r="B13" s="11" t="n">
        <f aca="false">B11+B12</f>
        <v>27842400</v>
      </c>
      <c r="C13" s="10" t="n">
        <f aca="false">B13/(in_mwp*1000000)</f>
        <v>0.46404</v>
      </c>
    </row>
    <row r="14" customFormat="false" ht="15" hidden="false" customHeight="false" outlineLevel="0" collapsed="false">
      <c r="A14" s="0" t="s">
        <v>274</v>
      </c>
      <c r="B14" s="9" t="n">
        <f aca="false">in_c_dev_lump</f>
        <v>1200000</v>
      </c>
      <c r="C14" s="10" t="n">
        <f aca="false">B14/(in_mwp*1000000)</f>
        <v>0.02</v>
      </c>
    </row>
    <row r="15" customFormat="false" ht="15" hidden="false" customHeight="false" outlineLevel="0" collapsed="false">
      <c r="A15" s="0" t="s">
        <v>275</v>
      </c>
      <c r="B15" s="9" t="n">
        <f aca="false">B13*in_owners_pct</f>
        <v>417636</v>
      </c>
      <c r="C15" s="10" t="n">
        <f aca="false">B15/(in_mwp*1000000)</f>
        <v>0.0069606</v>
      </c>
    </row>
    <row r="16" customFormat="false" ht="15" hidden="false" customHeight="false" outlineLevel="0" collapsed="false">
      <c r="A16" s="0" t="s">
        <v>276</v>
      </c>
      <c r="B16" s="9" t="n">
        <f aca="false">B13*in_contingency</f>
        <v>2784240</v>
      </c>
      <c r="C16" s="10" t="n">
        <f aca="false">B16/(in_mwp*1000000)</f>
        <v>0.046404</v>
      </c>
    </row>
    <row r="17" customFormat="false" ht="15" hidden="false" customHeight="false" outlineLevel="0" collapsed="false">
      <c r="A17" s="0" t="s">
        <v>277</v>
      </c>
      <c r="B17" s="12" t="n">
        <f aca="false">in_capex_mult</f>
        <v>1</v>
      </c>
    </row>
    <row r="18" customFormat="false" ht="15" hidden="false" customHeight="false" outlineLevel="0" collapsed="false">
      <c r="A18" s="3" t="s">
        <v>278</v>
      </c>
      <c r="B18" s="11" t="n">
        <f aca="false">(B13+B14+B15+B16)*B17</f>
        <v>32244276</v>
      </c>
      <c r="C18" s="10" t="n">
        <f aca="false">B18/(in_mwp*1000000)</f>
        <v>0.5374046</v>
      </c>
    </row>
    <row r="19" customFormat="false" ht="15" hidden="false" customHeight="false" outlineLevel="0" collapsed="false">
      <c r="A19" s="0" t="s">
        <v>279</v>
      </c>
      <c r="B19" s="9" t="n">
        <f aca="false">in_bess_on*in_bess_mwh*1000*in_bess_capex_kwh*in_capex_mult</f>
        <v>0</v>
      </c>
      <c r="C19" s="10" t="n">
        <f aca="false">B19/(in_mwp*1000000)</f>
        <v>0</v>
      </c>
    </row>
    <row r="20" customFormat="false" ht="15" hidden="false" customHeight="false" outlineLevel="0" collapsed="false">
      <c r="A20" s="3" t="s">
        <v>280</v>
      </c>
      <c r="B20" s="11" t="n">
        <f aca="false">B18+B19</f>
        <v>32244276</v>
      </c>
      <c r="C20" s="10" t="n">
        <f aca="false">B20/(in_mwp*1000000)</f>
        <v>0.5374046</v>
      </c>
    </row>
    <row r="22" customFormat="false" ht="15" hidden="false" customHeight="false" outlineLevel="0" collapsed="false">
      <c r="A22" s="3" t="s">
        <v>281</v>
      </c>
    </row>
    <row r="23" customFormat="false" ht="15" hidden="false" customHeight="false" outlineLevel="0" collapsed="false">
      <c r="A23" s="0" t="s">
        <v>282</v>
      </c>
      <c r="B23" s="13" t="n">
        <f aca="false">in_ust7+in_debt_margin</f>
        <v>0.0961</v>
      </c>
    </row>
    <row r="24" customFormat="false" ht="15" hidden="false" customHeight="false" outlineLevel="0" collapsed="false">
      <c r="A24" s="0" t="s">
        <v>283</v>
      </c>
      <c r="B24" s="9" t="n">
        <f aca="false">in_gearing*x_capex/(1-in_gearing*(in_upfront_fee+x_kd*in_idc_factor))</f>
        <v>20170111.2420113</v>
      </c>
    </row>
    <row r="25" customFormat="false" ht="15" hidden="false" customHeight="false" outlineLevel="0" collapsed="false">
      <c r="A25" s="0" t="s">
        <v>284</v>
      </c>
      <c r="B25" s="9" t="n">
        <f aca="false">in_upfront_fee*x_debt</f>
        <v>403402.224840226</v>
      </c>
    </row>
    <row r="26" customFormat="false" ht="15" hidden="false" customHeight="false" outlineLevel="0" collapsed="false">
      <c r="A26" s="0" t="s">
        <v>285</v>
      </c>
      <c r="B26" s="9" t="n">
        <f aca="false">x_kd*in_idc_factor*x_debt</f>
        <v>969173.845178644</v>
      </c>
    </row>
    <row r="27" customFormat="false" ht="15" hidden="false" customHeight="false" outlineLevel="0" collapsed="false">
      <c r="A27" s="0" t="s">
        <v>286</v>
      </c>
      <c r="B27" s="9" t="n">
        <f aca="false">x_capex+x_fee+x_idc</f>
        <v>33616852.0700189</v>
      </c>
    </row>
    <row r="28" customFormat="false" ht="15" hidden="false" customHeight="false" outlineLevel="0" collapsed="false">
      <c r="A28" s="0" t="s">
        <v>287</v>
      </c>
      <c r="B28" s="9" t="n">
        <f aca="false">x_funding-x_debt</f>
        <v>13446740.8280076</v>
      </c>
    </row>
    <row r="29" customFormat="false" ht="15" hidden="false" customHeight="false" outlineLevel="0" collapsed="false">
      <c r="A29" s="0" t="s">
        <v>288</v>
      </c>
      <c r="B29" s="13" t="n">
        <f aca="false">x_debt/x_funding</f>
        <v>0.6</v>
      </c>
    </row>
    <row r="30" customFormat="false" ht="15" hidden="false" customHeight="false" outlineLevel="0" collapsed="false">
      <c r="A30" s="0" t="s">
        <v>289</v>
      </c>
      <c r="B30" s="9" t="n">
        <f aca="false">-PMT(x_kd,in_tenor,x_debt)</f>
        <v>2903912.37946632</v>
      </c>
    </row>
    <row r="31" customFormat="false" ht="15" hidden="false" customHeight="false" outlineLevel="0" collapsed="false">
      <c r="A31" s="0" t="s">
        <v>290</v>
      </c>
      <c r="B31" s="9" t="n">
        <f aca="false">x_capex/(in_mwp*1000)</f>
        <v>537.4046</v>
      </c>
    </row>
    <row r="32" customFormat="false" ht="15" hidden="false" customHeight="false" outlineLevel="0" collapsed="false">
      <c r="A32" s="0" t="s">
        <v>291</v>
      </c>
      <c r="B32" s="9" t="n">
        <f aca="false">x_capex/(in_mwac*1000)</f>
        <v>644.88552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4"/>
    <col collapsed="false" customWidth="true" hidden="false" outlineLevel="0" max="29" min="4" style="0" width="11.5"/>
  </cols>
  <sheetData>
    <row r="1" customFormat="false" ht="15" hidden="false" customHeight="false" outlineLevel="0" collapsed="false">
      <c r="A1" s="14" t="s">
        <v>292</v>
      </c>
      <c r="B1" s="14" t="s">
        <v>16</v>
      </c>
      <c r="C1" s="15"/>
      <c r="D1" s="16" t="s">
        <v>293</v>
      </c>
      <c r="E1" s="16" t="s">
        <v>294</v>
      </c>
      <c r="F1" s="16" t="s">
        <v>295</v>
      </c>
      <c r="G1" s="16" t="s">
        <v>296</v>
      </c>
      <c r="H1" s="16" t="s">
        <v>297</v>
      </c>
      <c r="I1" s="16" t="s">
        <v>298</v>
      </c>
      <c r="J1" s="16" t="s">
        <v>299</v>
      </c>
      <c r="K1" s="16" t="s">
        <v>300</v>
      </c>
      <c r="L1" s="16" t="s">
        <v>301</v>
      </c>
      <c r="M1" s="16" t="s">
        <v>302</v>
      </c>
      <c r="N1" s="16" t="s">
        <v>303</v>
      </c>
      <c r="O1" s="16" t="s">
        <v>304</v>
      </c>
      <c r="P1" s="16" t="s">
        <v>305</v>
      </c>
      <c r="Q1" s="16" t="s">
        <v>306</v>
      </c>
      <c r="R1" s="16" t="s">
        <v>307</v>
      </c>
      <c r="S1" s="16" t="s">
        <v>308</v>
      </c>
      <c r="T1" s="16" t="s">
        <v>309</v>
      </c>
      <c r="U1" s="16" t="s">
        <v>310</v>
      </c>
      <c r="V1" s="16" t="s">
        <v>311</v>
      </c>
      <c r="W1" s="16" t="s">
        <v>312</v>
      </c>
      <c r="X1" s="16" t="s">
        <v>313</v>
      </c>
      <c r="Y1" s="16" t="s">
        <v>314</v>
      </c>
      <c r="Z1" s="16" t="s">
        <v>315</v>
      </c>
      <c r="AA1" s="16" t="s">
        <v>316</v>
      </c>
      <c r="AB1" s="16" t="s">
        <v>317</v>
      </c>
      <c r="AC1" s="16" t="s">
        <v>318</v>
      </c>
    </row>
    <row r="3" customFormat="false" ht="15" hidden="false" customHeight="false" outlineLevel="0" collapsed="false">
      <c r="A3" s="17" t="s">
        <v>319</v>
      </c>
    </row>
    <row r="4" customFormat="false" ht="15" hidden="false" customHeight="false" outlineLevel="0" collapsed="false">
      <c r="A4" s="2" t="s">
        <v>320</v>
      </c>
      <c r="B4" s="2"/>
      <c r="D4" s="18" t="n">
        <v>0</v>
      </c>
      <c r="E4" s="18" t="n">
        <v>1</v>
      </c>
      <c r="F4" s="18" t="n">
        <v>2</v>
      </c>
      <c r="G4" s="18" t="n">
        <v>3</v>
      </c>
      <c r="H4" s="18" t="n">
        <v>4</v>
      </c>
      <c r="I4" s="18" t="n">
        <v>5</v>
      </c>
      <c r="J4" s="18" t="n">
        <v>6</v>
      </c>
      <c r="K4" s="18" t="n">
        <v>7</v>
      </c>
      <c r="L4" s="18" t="n">
        <v>8</v>
      </c>
      <c r="M4" s="18" t="n">
        <v>9</v>
      </c>
      <c r="N4" s="18" t="n">
        <v>10</v>
      </c>
      <c r="O4" s="18" t="n">
        <v>11</v>
      </c>
      <c r="P4" s="18" t="n">
        <v>12</v>
      </c>
      <c r="Q4" s="18" t="n">
        <v>13</v>
      </c>
      <c r="R4" s="18" t="n">
        <v>14</v>
      </c>
      <c r="S4" s="18" t="n">
        <v>15</v>
      </c>
      <c r="T4" s="18" t="n">
        <v>16</v>
      </c>
      <c r="U4" s="18" t="n">
        <v>17</v>
      </c>
      <c r="V4" s="18" t="n">
        <v>18</v>
      </c>
      <c r="W4" s="18" t="n">
        <v>19</v>
      </c>
      <c r="X4" s="18" t="n">
        <v>20</v>
      </c>
      <c r="Y4" s="18" t="n">
        <v>21</v>
      </c>
      <c r="Z4" s="18" t="n">
        <v>22</v>
      </c>
      <c r="AA4" s="18" t="n">
        <v>23</v>
      </c>
      <c r="AB4" s="18" t="n">
        <v>24</v>
      </c>
      <c r="AC4" s="18" t="n">
        <v>25</v>
      </c>
    </row>
    <row r="5" customFormat="false" ht="15" hidden="false" customHeight="false" outlineLevel="0" collapsed="false">
      <c r="A5" s="2" t="s">
        <v>321</v>
      </c>
      <c r="B5" s="2"/>
      <c r="D5" s="18" t="n">
        <f aca="false">in_cod_year-1</f>
        <v>2027</v>
      </c>
      <c r="E5" s="18" t="n">
        <f aca="false">in_cod_year+1-1</f>
        <v>2028</v>
      </c>
      <c r="F5" s="18" t="n">
        <f aca="false">in_cod_year+2-1</f>
        <v>2029</v>
      </c>
      <c r="G5" s="18" t="n">
        <f aca="false">in_cod_year+3-1</f>
        <v>2030</v>
      </c>
      <c r="H5" s="18" t="n">
        <f aca="false">in_cod_year+4-1</f>
        <v>2031</v>
      </c>
      <c r="I5" s="18" t="n">
        <f aca="false">in_cod_year+5-1</f>
        <v>2032</v>
      </c>
      <c r="J5" s="18" t="n">
        <f aca="false">in_cod_year+6-1</f>
        <v>2033</v>
      </c>
      <c r="K5" s="18" t="n">
        <f aca="false">in_cod_year+7-1</f>
        <v>2034</v>
      </c>
      <c r="L5" s="18" t="n">
        <f aca="false">in_cod_year+8-1</f>
        <v>2035</v>
      </c>
      <c r="M5" s="18" t="n">
        <f aca="false">in_cod_year+9-1</f>
        <v>2036</v>
      </c>
      <c r="N5" s="18" t="n">
        <f aca="false">in_cod_year+10-1</f>
        <v>2037</v>
      </c>
      <c r="O5" s="18" t="n">
        <f aca="false">in_cod_year+11-1</f>
        <v>2038</v>
      </c>
      <c r="P5" s="18" t="n">
        <f aca="false">in_cod_year+12-1</f>
        <v>2039</v>
      </c>
      <c r="Q5" s="18" t="n">
        <f aca="false">in_cod_year+13-1</f>
        <v>2040</v>
      </c>
      <c r="R5" s="18" t="n">
        <f aca="false">in_cod_year+14-1</f>
        <v>2041</v>
      </c>
      <c r="S5" s="18" t="n">
        <f aca="false">in_cod_year+15-1</f>
        <v>2042</v>
      </c>
      <c r="T5" s="18" t="n">
        <f aca="false">in_cod_year+16-1</f>
        <v>2043</v>
      </c>
      <c r="U5" s="18" t="n">
        <f aca="false">in_cod_year+17-1</f>
        <v>2044</v>
      </c>
      <c r="V5" s="18" t="n">
        <f aca="false">in_cod_year+18-1</f>
        <v>2045</v>
      </c>
      <c r="W5" s="18" t="n">
        <f aca="false">in_cod_year+19-1</f>
        <v>2046</v>
      </c>
      <c r="X5" s="18" t="n">
        <f aca="false">in_cod_year+20-1</f>
        <v>2047</v>
      </c>
      <c r="Y5" s="18" t="n">
        <f aca="false">in_cod_year+21-1</f>
        <v>2048</v>
      </c>
      <c r="Z5" s="18" t="n">
        <f aca="false">in_cod_year+22-1</f>
        <v>2049</v>
      </c>
      <c r="AA5" s="18" t="n">
        <f aca="false">in_cod_year+23-1</f>
        <v>2050</v>
      </c>
      <c r="AB5" s="18" t="n">
        <f aca="false">in_cod_year+24-1</f>
        <v>2051</v>
      </c>
      <c r="AC5" s="18" t="n">
        <f aca="false">in_cod_year+25-1</f>
        <v>2052</v>
      </c>
    </row>
    <row r="7" customFormat="false" ht="15" hidden="false" customHeight="false" outlineLevel="0" collapsed="false">
      <c r="A7" s="17" t="s">
        <v>322</v>
      </c>
    </row>
    <row r="8" customFormat="false" ht="15" hidden="false" customHeight="false" outlineLevel="0" collapsed="false">
      <c r="A8" s="2" t="s">
        <v>323</v>
      </c>
      <c r="B8" s="2" t="s">
        <v>209</v>
      </c>
      <c r="E8" s="19" t="n">
        <f aca="false">(1-in_deg_y1)-in_deg_annual*(1-1)</f>
        <v>0.99</v>
      </c>
      <c r="F8" s="19" t="n">
        <f aca="false">(1-in_deg_y1)-in_deg_annual*(2-1)</f>
        <v>0.986</v>
      </c>
      <c r="G8" s="19" t="n">
        <f aca="false">(1-in_deg_y1)-in_deg_annual*(3-1)</f>
        <v>0.982</v>
      </c>
      <c r="H8" s="19" t="n">
        <f aca="false">(1-in_deg_y1)-in_deg_annual*(4-1)</f>
        <v>0.978</v>
      </c>
      <c r="I8" s="19" t="n">
        <f aca="false">(1-in_deg_y1)-in_deg_annual*(5-1)</f>
        <v>0.974</v>
      </c>
      <c r="J8" s="19" t="n">
        <f aca="false">(1-in_deg_y1)-in_deg_annual*(6-1)</f>
        <v>0.97</v>
      </c>
      <c r="K8" s="19" t="n">
        <f aca="false">(1-in_deg_y1)-in_deg_annual*(7-1)</f>
        <v>0.966</v>
      </c>
      <c r="L8" s="19" t="n">
        <f aca="false">(1-in_deg_y1)-in_deg_annual*(8-1)</f>
        <v>0.962</v>
      </c>
      <c r="M8" s="19" t="n">
        <f aca="false">(1-in_deg_y1)-in_deg_annual*(9-1)</f>
        <v>0.958</v>
      </c>
      <c r="N8" s="19" t="n">
        <f aca="false">(1-in_deg_y1)-in_deg_annual*(10-1)</f>
        <v>0.954</v>
      </c>
      <c r="O8" s="19" t="n">
        <f aca="false">(1-in_deg_y1)-in_deg_annual*(11-1)</f>
        <v>0.95</v>
      </c>
      <c r="P8" s="19" t="n">
        <f aca="false">(1-in_deg_y1)-in_deg_annual*(12-1)</f>
        <v>0.946</v>
      </c>
      <c r="Q8" s="19" t="n">
        <f aca="false">(1-in_deg_y1)-in_deg_annual*(13-1)</f>
        <v>0.942</v>
      </c>
      <c r="R8" s="19" t="n">
        <f aca="false">(1-in_deg_y1)-in_deg_annual*(14-1)</f>
        <v>0.938</v>
      </c>
      <c r="S8" s="19" t="n">
        <f aca="false">(1-in_deg_y1)-in_deg_annual*(15-1)</f>
        <v>0.934</v>
      </c>
      <c r="T8" s="19" t="n">
        <f aca="false">(1-in_deg_y1)-in_deg_annual*(16-1)</f>
        <v>0.93</v>
      </c>
      <c r="U8" s="19" t="n">
        <f aca="false">(1-in_deg_y1)-in_deg_annual*(17-1)</f>
        <v>0.926</v>
      </c>
      <c r="V8" s="19" t="n">
        <f aca="false">(1-in_deg_y1)-in_deg_annual*(18-1)</f>
        <v>0.922</v>
      </c>
      <c r="W8" s="19" t="n">
        <f aca="false">(1-in_deg_y1)-in_deg_annual*(19-1)</f>
        <v>0.918</v>
      </c>
      <c r="X8" s="19" t="n">
        <f aca="false">(1-in_deg_y1)-in_deg_annual*(20-1)</f>
        <v>0.914</v>
      </c>
      <c r="Y8" s="19" t="n">
        <f aca="false">(1-in_deg_y1)-in_deg_annual*(21-1)</f>
        <v>0.91</v>
      </c>
      <c r="Z8" s="19" t="n">
        <f aca="false">(1-in_deg_y1)-in_deg_annual*(22-1)</f>
        <v>0.906</v>
      </c>
      <c r="AA8" s="19" t="n">
        <f aca="false">(1-in_deg_y1)-in_deg_annual*(23-1)</f>
        <v>0.902</v>
      </c>
      <c r="AB8" s="19" t="n">
        <f aca="false">(1-in_deg_y1)-in_deg_annual*(24-1)</f>
        <v>0.898</v>
      </c>
      <c r="AC8" s="19" t="n">
        <f aca="false">(1-in_deg_y1)-in_deg_annual*(25-1)</f>
        <v>0.894</v>
      </c>
    </row>
    <row r="9" customFormat="false" ht="15" hidden="false" customHeight="false" outlineLevel="0" collapsed="false">
      <c r="A9" s="2" t="s">
        <v>324</v>
      </c>
      <c r="B9" s="2" t="s">
        <v>217</v>
      </c>
      <c r="E9" s="20" t="n">
        <f aca="false">in_mwp*1000*in_pvgis_yield*in_yield_mult*(1-in_clip_loss)*in_availability*E8/1000</f>
        <v>96773.9781839023</v>
      </c>
      <c r="F9" s="20" t="n">
        <f aca="false">in_mwp*1000*in_pvgis_yield*in_yield_mult*(1-in_clip_loss)*in_availability*F8/1000</f>
        <v>96382.9722114421</v>
      </c>
      <c r="G9" s="20" t="n">
        <f aca="false">in_mwp*1000*in_pvgis_yield*in_yield_mult*(1-in_clip_loss)*in_availability*G8/1000</f>
        <v>95991.9662389819</v>
      </c>
      <c r="H9" s="20" t="n">
        <f aca="false">in_mwp*1000*in_pvgis_yield*in_yield_mult*(1-in_clip_loss)*in_availability*H8/1000</f>
        <v>95600.9602665217</v>
      </c>
      <c r="I9" s="20" t="n">
        <f aca="false">in_mwp*1000*in_pvgis_yield*in_yield_mult*(1-in_clip_loss)*in_availability*I8/1000</f>
        <v>95209.9542940615</v>
      </c>
      <c r="J9" s="20" t="n">
        <f aca="false">in_mwp*1000*in_pvgis_yield*in_yield_mult*(1-in_clip_loss)*in_availability*J8/1000</f>
        <v>94818.9483216013</v>
      </c>
      <c r="K9" s="20" t="n">
        <f aca="false">in_mwp*1000*in_pvgis_yield*in_yield_mult*(1-in_clip_loss)*in_availability*K8/1000</f>
        <v>94427.942349141</v>
      </c>
      <c r="L9" s="20" t="n">
        <f aca="false">in_mwp*1000*in_pvgis_yield*in_yield_mult*(1-in_clip_loss)*in_availability*L8/1000</f>
        <v>94036.9363766808</v>
      </c>
      <c r="M9" s="20" t="n">
        <f aca="false">in_mwp*1000*in_pvgis_yield*in_yield_mult*(1-in_clip_loss)*in_availability*M8/1000</f>
        <v>93645.9304042206</v>
      </c>
      <c r="N9" s="20" t="n">
        <f aca="false">in_mwp*1000*in_pvgis_yield*in_yield_mult*(1-in_clip_loss)*in_availability*N8/1000</f>
        <v>93254.9244317604</v>
      </c>
      <c r="O9" s="20" t="n">
        <f aca="false">in_mwp*1000*in_pvgis_yield*in_yield_mult*(1-in_clip_loss)*in_availability*O8/1000</f>
        <v>92863.9184593002</v>
      </c>
      <c r="P9" s="20" t="n">
        <f aca="false">in_mwp*1000*in_pvgis_yield*in_yield_mult*(1-in_clip_loss)*in_availability*P8/1000</f>
        <v>92472.91248684</v>
      </c>
      <c r="Q9" s="20" t="n">
        <f aca="false">in_mwp*1000*in_pvgis_yield*in_yield_mult*(1-in_clip_loss)*in_availability*Q8/1000</f>
        <v>92081.9065143798</v>
      </c>
      <c r="R9" s="20" t="n">
        <f aca="false">in_mwp*1000*in_pvgis_yield*in_yield_mult*(1-in_clip_loss)*in_availability*R8/1000</f>
        <v>91690.9005419196</v>
      </c>
      <c r="S9" s="20" t="n">
        <f aca="false">in_mwp*1000*in_pvgis_yield*in_yield_mult*(1-in_clip_loss)*in_availability*S8/1000</f>
        <v>91299.8945694593</v>
      </c>
      <c r="T9" s="20" t="n">
        <f aca="false">in_mwp*1000*in_pvgis_yield*in_yield_mult*(1-in_clip_loss)*in_availability*T8/1000</f>
        <v>90908.8885969991</v>
      </c>
      <c r="U9" s="20" t="n">
        <f aca="false">in_mwp*1000*in_pvgis_yield*in_yield_mult*(1-in_clip_loss)*in_availability*U8/1000</f>
        <v>90517.8826245389</v>
      </c>
      <c r="V9" s="20" t="n">
        <f aca="false">in_mwp*1000*in_pvgis_yield*in_yield_mult*(1-in_clip_loss)*in_availability*V8/1000</f>
        <v>90126.8766520787</v>
      </c>
      <c r="W9" s="20" t="n">
        <f aca="false">in_mwp*1000*in_pvgis_yield*in_yield_mult*(1-in_clip_loss)*in_availability*W8/1000</f>
        <v>89735.8706796185</v>
      </c>
      <c r="X9" s="20" t="n">
        <f aca="false">in_mwp*1000*in_pvgis_yield*in_yield_mult*(1-in_clip_loss)*in_availability*X8/1000</f>
        <v>89344.8647071583</v>
      </c>
      <c r="Y9" s="20" t="n">
        <f aca="false">in_mwp*1000*in_pvgis_yield*in_yield_mult*(1-in_clip_loss)*in_availability*Y8/1000</f>
        <v>88953.8587346981</v>
      </c>
      <c r="Z9" s="20" t="n">
        <f aca="false">in_mwp*1000*in_pvgis_yield*in_yield_mult*(1-in_clip_loss)*in_availability*Z8/1000</f>
        <v>88562.8527622379</v>
      </c>
      <c r="AA9" s="20" t="n">
        <f aca="false">in_mwp*1000*in_pvgis_yield*in_yield_mult*(1-in_clip_loss)*in_availability*AA8/1000</f>
        <v>88171.8467897777</v>
      </c>
      <c r="AB9" s="20" t="n">
        <f aca="false">in_mwp*1000*in_pvgis_yield*in_yield_mult*(1-in_clip_loss)*in_availability*AB8/1000</f>
        <v>87780.8408173175</v>
      </c>
      <c r="AC9" s="20" t="n">
        <f aca="false">in_mwp*1000*in_pvgis_yield*in_yield_mult*(1-in_clip_loss)*in_availability*AC8/1000</f>
        <v>87389.8348448573</v>
      </c>
    </row>
    <row r="10" customFormat="false" ht="15" hidden="false" customHeight="false" outlineLevel="0" collapsed="false">
      <c r="A10" s="2" t="s">
        <v>325</v>
      </c>
      <c r="B10" s="2" t="s">
        <v>209</v>
      </c>
      <c r="E10" s="19" t="n">
        <f aca="false">IF(1&lt;in_bess_aug_yr,(1-in_bess_fade)^(1-1),(1-in_bess_fade)^(1-in_bess_aug_yr))</f>
        <v>1</v>
      </c>
      <c r="F10" s="19" t="n">
        <f aca="false">IF(2&lt;in_bess_aug_yr,(1-in_bess_fade)^(2-1),(1-in_bess_fade)^(2-in_bess_aug_yr))</f>
        <v>0.98</v>
      </c>
      <c r="G10" s="19" t="n">
        <f aca="false">IF(3&lt;in_bess_aug_yr,(1-in_bess_fade)^(3-1),(1-in_bess_fade)^(3-in_bess_aug_yr))</f>
        <v>0.9604</v>
      </c>
      <c r="H10" s="19" t="n">
        <f aca="false">IF(4&lt;in_bess_aug_yr,(1-in_bess_fade)^(4-1),(1-in_bess_fade)^(4-in_bess_aug_yr))</f>
        <v>0.941192</v>
      </c>
      <c r="I10" s="19" t="n">
        <f aca="false">IF(5&lt;in_bess_aug_yr,(1-in_bess_fade)^(5-1),(1-in_bess_fade)^(5-in_bess_aug_yr))</f>
        <v>0.92236816</v>
      </c>
      <c r="J10" s="19" t="n">
        <f aca="false">IF(6&lt;in_bess_aug_yr,(1-in_bess_fade)^(6-1),(1-in_bess_fade)^(6-in_bess_aug_yr))</f>
        <v>0.9039207968</v>
      </c>
      <c r="K10" s="19" t="n">
        <f aca="false">IF(7&lt;in_bess_aug_yr,(1-in_bess_fade)^(7-1),(1-in_bess_fade)^(7-in_bess_aug_yr))</f>
        <v>0.885842380864</v>
      </c>
      <c r="L10" s="19" t="n">
        <f aca="false">IF(8&lt;in_bess_aug_yr,(1-in_bess_fade)^(8-1),(1-in_bess_fade)^(8-in_bess_aug_yr))</f>
        <v>0.86812553324672</v>
      </c>
      <c r="M10" s="19" t="n">
        <f aca="false">IF(9&lt;in_bess_aug_yr,(1-in_bess_fade)^(9-1),(1-in_bess_fade)^(9-in_bess_aug_yr))</f>
        <v>0.850763022581786</v>
      </c>
      <c r="N10" s="19" t="n">
        <f aca="false">IF(10&lt;in_bess_aug_yr,(1-in_bess_fade)^(10-1),(1-in_bess_fade)^(10-in_bess_aug_yr))</f>
        <v>0.83374776213015</v>
      </c>
      <c r="O10" s="19" t="n">
        <f aca="false">IF(11&lt;in_bess_aug_yr,(1-in_bess_fade)^(11-1),(1-in_bess_fade)^(11-in_bess_aug_yr))</f>
        <v>0.817072806887547</v>
      </c>
      <c r="P10" s="19" t="n">
        <f aca="false">IF(12&lt;in_bess_aug_yr,(1-in_bess_fade)^(12-1),(1-in_bess_fade)^(12-in_bess_aug_yr))</f>
        <v>1</v>
      </c>
      <c r="Q10" s="19" t="n">
        <f aca="false">IF(13&lt;in_bess_aug_yr,(1-in_bess_fade)^(13-1),(1-in_bess_fade)^(13-in_bess_aug_yr))</f>
        <v>0.98</v>
      </c>
      <c r="R10" s="19" t="n">
        <f aca="false">IF(14&lt;in_bess_aug_yr,(1-in_bess_fade)^(14-1),(1-in_bess_fade)^(14-in_bess_aug_yr))</f>
        <v>0.9604</v>
      </c>
      <c r="S10" s="19" t="n">
        <f aca="false">IF(15&lt;in_bess_aug_yr,(1-in_bess_fade)^(15-1),(1-in_bess_fade)^(15-in_bess_aug_yr))</f>
        <v>0.941192</v>
      </c>
      <c r="T10" s="19" t="n">
        <f aca="false">IF(16&lt;in_bess_aug_yr,(1-in_bess_fade)^(16-1),(1-in_bess_fade)^(16-in_bess_aug_yr))</f>
        <v>0.92236816</v>
      </c>
      <c r="U10" s="19" t="n">
        <f aca="false">IF(17&lt;in_bess_aug_yr,(1-in_bess_fade)^(17-1),(1-in_bess_fade)^(17-in_bess_aug_yr))</f>
        <v>0.9039207968</v>
      </c>
      <c r="V10" s="19" t="n">
        <f aca="false">IF(18&lt;in_bess_aug_yr,(1-in_bess_fade)^(18-1),(1-in_bess_fade)^(18-in_bess_aug_yr))</f>
        <v>0.885842380864</v>
      </c>
      <c r="W10" s="19" t="n">
        <f aca="false">IF(19&lt;in_bess_aug_yr,(1-in_bess_fade)^(19-1),(1-in_bess_fade)^(19-in_bess_aug_yr))</f>
        <v>0.86812553324672</v>
      </c>
      <c r="X10" s="19" t="n">
        <f aca="false">IF(20&lt;in_bess_aug_yr,(1-in_bess_fade)^(20-1),(1-in_bess_fade)^(20-in_bess_aug_yr))</f>
        <v>0.850763022581786</v>
      </c>
      <c r="Y10" s="19" t="n">
        <f aca="false">IF(21&lt;in_bess_aug_yr,(1-in_bess_fade)^(21-1),(1-in_bess_fade)^(21-in_bess_aug_yr))</f>
        <v>0.83374776213015</v>
      </c>
      <c r="Z10" s="19" t="n">
        <f aca="false">IF(22&lt;in_bess_aug_yr,(1-in_bess_fade)^(22-1),(1-in_bess_fade)^(22-in_bess_aug_yr))</f>
        <v>0.817072806887547</v>
      </c>
      <c r="AA10" s="19" t="n">
        <f aca="false">IF(23&lt;in_bess_aug_yr,(1-in_bess_fade)^(23-1),(1-in_bess_fade)^(23-in_bess_aug_yr))</f>
        <v>0.800731350749796</v>
      </c>
      <c r="AB10" s="19" t="n">
        <f aca="false">IF(24&lt;in_bess_aug_yr,(1-in_bess_fade)^(24-1),(1-in_bess_fade)^(24-in_bess_aug_yr))</f>
        <v>0.7847167237348</v>
      </c>
      <c r="AC10" s="19" t="n">
        <f aca="false">IF(25&lt;in_bess_aug_yr,(1-in_bess_fade)^(25-1),(1-in_bess_fade)^(25-in_bess_aug_yr))</f>
        <v>0.769022389260104</v>
      </c>
    </row>
    <row r="11" customFormat="false" ht="15" hidden="false" customHeight="false" outlineLevel="0" collapsed="false">
      <c r="A11" s="2" t="s">
        <v>326</v>
      </c>
      <c r="B11" s="2" t="s">
        <v>217</v>
      </c>
      <c r="E11" s="20" t="n">
        <f aca="false">MIN(in_bess_on*in_bess_charge_yr1*E10,E9)</f>
        <v>0</v>
      </c>
      <c r="F11" s="20" t="n">
        <f aca="false">MIN(in_bess_on*in_bess_charge_yr1*F10,F9)</f>
        <v>0</v>
      </c>
      <c r="G11" s="20" t="n">
        <f aca="false">MIN(in_bess_on*in_bess_charge_yr1*G10,G9)</f>
        <v>0</v>
      </c>
      <c r="H11" s="20" t="n">
        <f aca="false">MIN(in_bess_on*in_bess_charge_yr1*H10,H9)</f>
        <v>0</v>
      </c>
      <c r="I11" s="20" t="n">
        <f aca="false">MIN(in_bess_on*in_bess_charge_yr1*I10,I9)</f>
        <v>0</v>
      </c>
      <c r="J11" s="20" t="n">
        <f aca="false">MIN(in_bess_on*in_bess_charge_yr1*J10,J9)</f>
        <v>0</v>
      </c>
      <c r="K11" s="20" t="n">
        <f aca="false">MIN(in_bess_on*in_bess_charge_yr1*K10,K9)</f>
        <v>0</v>
      </c>
      <c r="L11" s="20" t="n">
        <f aca="false">MIN(in_bess_on*in_bess_charge_yr1*L10,L9)</f>
        <v>0</v>
      </c>
      <c r="M11" s="20" t="n">
        <f aca="false">MIN(in_bess_on*in_bess_charge_yr1*M10,M9)</f>
        <v>0</v>
      </c>
      <c r="N11" s="20" t="n">
        <f aca="false">MIN(in_bess_on*in_bess_charge_yr1*N10,N9)</f>
        <v>0</v>
      </c>
      <c r="O11" s="20" t="n">
        <f aca="false">MIN(in_bess_on*in_bess_charge_yr1*O10,O9)</f>
        <v>0</v>
      </c>
      <c r="P11" s="20" t="n">
        <f aca="false">MIN(in_bess_on*in_bess_charge_yr1*P10,P9)</f>
        <v>0</v>
      </c>
      <c r="Q11" s="20" t="n">
        <f aca="false">MIN(in_bess_on*in_bess_charge_yr1*Q10,Q9)</f>
        <v>0</v>
      </c>
      <c r="R11" s="20" t="n">
        <f aca="false">MIN(in_bess_on*in_bess_charge_yr1*R10,R9)</f>
        <v>0</v>
      </c>
      <c r="S11" s="20" t="n">
        <f aca="false">MIN(in_bess_on*in_bess_charge_yr1*S10,S9)</f>
        <v>0</v>
      </c>
      <c r="T11" s="20" t="n">
        <f aca="false">MIN(in_bess_on*in_bess_charge_yr1*T10,T9)</f>
        <v>0</v>
      </c>
      <c r="U11" s="20" t="n">
        <f aca="false">MIN(in_bess_on*in_bess_charge_yr1*U10,U9)</f>
        <v>0</v>
      </c>
      <c r="V11" s="20" t="n">
        <f aca="false">MIN(in_bess_on*in_bess_charge_yr1*V10,V9)</f>
        <v>0</v>
      </c>
      <c r="W11" s="20" t="n">
        <f aca="false">MIN(in_bess_on*in_bess_charge_yr1*W10,W9)</f>
        <v>0</v>
      </c>
      <c r="X11" s="20" t="n">
        <f aca="false">MIN(in_bess_on*in_bess_charge_yr1*X10,X9)</f>
        <v>0</v>
      </c>
      <c r="Y11" s="20" t="n">
        <f aca="false">MIN(in_bess_on*in_bess_charge_yr1*Y10,Y9)</f>
        <v>0</v>
      </c>
      <c r="Z11" s="20" t="n">
        <f aca="false">MIN(in_bess_on*in_bess_charge_yr1*Z10,Z9)</f>
        <v>0</v>
      </c>
      <c r="AA11" s="20" t="n">
        <f aca="false">MIN(in_bess_on*in_bess_charge_yr1*AA10,AA9)</f>
        <v>0</v>
      </c>
      <c r="AB11" s="20" t="n">
        <f aca="false">MIN(in_bess_on*in_bess_charge_yr1*AB10,AB9)</f>
        <v>0</v>
      </c>
      <c r="AC11" s="20" t="n">
        <f aca="false">MIN(in_bess_on*in_bess_charge_yr1*AC10,AC9)</f>
        <v>0</v>
      </c>
    </row>
    <row r="12" customFormat="false" ht="15" hidden="false" customHeight="false" outlineLevel="0" collapsed="false">
      <c r="A12" s="2" t="s">
        <v>327</v>
      </c>
      <c r="B12" s="2" t="s">
        <v>217</v>
      </c>
      <c r="E12" s="20" t="n">
        <f aca="false">E11*in_bess_dis_ratio</f>
        <v>0</v>
      </c>
      <c r="F12" s="20" t="n">
        <f aca="false">F11*in_bess_dis_ratio</f>
        <v>0</v>
      </c>
      <c r="G12" s="20" t="n">
        <f aca="false">G11*in_bess_dis_ratio</f>
        <v>0</v>
      </c>
      <c r="H12" s="20" t="n">
        <f aca="false">H11*in_bess_dis_ratio</f>
        <v>0</v>
      </c>
      <c r="I12" s="20" t="n">
        <f aca="false">I11*in_bess_dis_ratio</f>
        <v>0</v>
      </c>
      <c r="J12" s="20" t="n">
        <f aca="false">J11*in_bess_dis_ratio</f>
        <v>0</v>
      </c>
      <c r="K12" s="20" t="n">
        <f aca="false">K11*in_bess_dis_ratio</f>
        <v>0</v>
      </c>
      <c r="L12" s="20" t="n">
        <f aca="false">L11*in_bess_dis_ratio</f>
        <v>0</v>
      </c>
      <c r="M12" s="20" t="n">
        <f aca="false">M11*in_bess_dis_ratio</f>
        <v>0</v>
      </c>
      <c r="N12" s="20" t="n">
        <f aca="false">N11*in_bess_dis_ratio</f>
        <v>0</v>
      </c>
      <c r="O12" s="20" t="n">
        <f aca="false">O11*in_bess_dis_ratio</f>
        <v>0</v>
      </c>
      <c r="P12" s="20" t="n">
        <f aca="false">P11*in_bess_dis_ratio</f>
        <v>0</v>
      </c>
      <c r="Q12" s="20" t="n">
        <f aca="false">Q11*in_bess_dis_ratio</f>
        <v>0</v>
      </c>
      <c r="R12" s="20" t="n">
        <f aca="false">R11*in_bess_dis_ratio</f>
        <v>0</v>
      </c>
      <c r="S12" s="20" t="n">
        <f aca="false">S11*in_bess_dis_ratio</f>
        <v>0</v>
      </c>
      <c r="T12" s="20" t="n">
        <f aca="false">T11*in_bess_dis_ratio</f>
        <v>0</v>
      </c>
      <c r="U12" s="20" t="n">
        <f aca="false">U11*in_bess_dis_ratio</f>
        <v>0</v>
      </c>
      <c r="V12" s="20" t="n">
        <f aca="false">V11*in_bess_dis_ratio</f>
        <v>0</v>
      </c>
      <c r="W12" s="20" t="n">
        <f aca="false">W11*in_bess_dis_ratio</f>
        <v>0</v>
      </c>
      <c r="X12" s="20" t="n">
        <f aca="false">X11*in_bess_dis_ratio</f>
        <v>0</v>
      </c>
      <c r="Y12" s="20" t="n">
        <f aca="false">Y11*in_bess_dis_ratio</f>
        <v>0</v>
      </c>
      <c r="Z12" s="20" t="n">
        <f aca="false">Z11*in_bess_dis_ratio</f>
        <v>0</v>
      </c>
      <c r="AA12" s="20" t="n">
        <f aca="false">AA11*in_bess_dis_ratio</f>
        <v>0</v>
      </c>
      <c r="AB12" s="20" t="n">
        <f aca="false">AB11*in_bess_dis_ratio</f>
        <v>0</v>
      </c>
      <c r="AC12" s="20" t="n">
        <f aca="false">AC11*in_bess_dis_ratio</f>
        <v>0</v>
      </c>
    </row>
    <row r="13" customFormat="false" ht="15" hidden="false" customHeight="false" outlineLevel="0" collapsed="false">
      <c r="A13" s="2" t="s">
        <v>328</v>
      </c>
      <c r="B13" s="2" t="s">
        <v>217</v>
      </c>
      <c r="E13" s="20" t="n">
        <f aca="false">E9-E11</f>
        <v>96773.9781839023</v>
      </c>
      <c r="F13" s="20" t="n">
        <f aca="false">F9-F11</f>
        <v>96382.9722114421</v>
      </c>
      <c r="G13" s="20" t="n">
        <f aca="false">G9-G11</f>
        <v>95991.9662389819</v>
      </c>
      <c r="H13" s="20" t="n">
        <f aca="false">H9-H11</f>
        <v>95600.9602665217</v>
      </c>
      <c r="I13" s="20" t="n">
        <f aca="false">I9-I11</f>
        <v>95209.9542940615</v>
      </c>
      <c r="J13" s="20" t="n">
        <f aca="false">J9-J11</f>
        <v>94818.9483216013</v>
      </c>
      <c r="K13" s="20" t="n">
        <f aca="false">K9-K11</f>
        <v>94427.942349141</v>
      </c>
      <c r="L13" s="20" t="n">
        <f aca="false">L9-L11</f>
        <v>94036.9363766808</v>
      </c>
      <c r="M13" s="20" t="n">
        <f aca="false">M9-M11</f>
        <v>93645.9304042206</v>
      </c>
      <c r="N13" s="20" t="n">
        <f aca="false">N9-N11</f>
        <v>93254.9244317604</v>
      </c>
      <c r="O13" s="20" t="n">
        <f aca="false">O9-O11</f>
        <v>92863.9184593002</v>
      </c>
      <c r="P13" s="20" t="n">
        <f aca="false">P9-P11</f>
        <v>92472.91248684</v>
      </c>
      <c r="Q13" s="20" t="n">
        <f aca="false">Q9-Q11</f>
        <v>92081.9065143798</v>
      </c>
      <c r="R13" s="20" t="n">
        <f aca="false">R9-R11</f>
        <v>91690.9005419196</v>
      </c>
      <c r="S13" s="20" t="n">
        <f aca="false">S9-S11</f>
        <v>91299.8945694593</v>
      </c>
      <c r="T13" s="20" t="n">
        <f aca="false">T9-T11</f>
        <v>90908.8885969991</v>
      </c>
      <c r="U13" s="20" t="n">
        <f aca="false">U9-U11</f>
        <v>90517.8826245389</v>
      </c>
      <c r="V13" s="20" t="n">
        <f aca="false">V9-V11</f>
        <v>90126.8766520787</v>
      </c>
      <c r="W13" s="20" t="n">
        <f aca="false">W9-W11</f>
        <v>89735.8706796185</v>
      </c>
      <c r="X13" s="20" t="n">
        <f aca="false">X9-X11</f>
        <v>89344.8647071583</v>
      </c>
      <c r="Y13" s="20" t="n">
        <f aca="false">Y9-Y11</f>
        <v>88953.8587346981</v>
      </c>
      <c r="Z13" s="20" t="n">
        <f aca="false">Z9-Z11</f>
        <v>88562.8527622379</v>
      </c>
      <c r="AA13" s="20" t="n">
        <f aca="false">AA9-AA11</f>
        <v>88171.8467897777</v>
      </c>
      <c r="AB13" s="20" t="n">
        <f aca="false">AB9-AB11</f>
        <v>87780.8408173175</v>
      </c>
      <c r="AC13" s="20" t="n">
        <f aca="false">AC9-AC11</f>
        <v>87389.8348448573</v>
      </c>
    </row>
    <row r="14" customFormat="false" ht="15" hidden="false" customHeight="false" outlineLevel="0" collapsed="false">
      <c r="A14" s="3" t="s">
        <v>329</v>
      </c>
      <c r="B14" s="2" t="s">
        <v>217</v>
      </c>
      <c r="E14" s="21" t="n">
        <f aca="false">E13+E12</f>
        <v>96773.9781839023</v>
      </c>
      <c r="F14" s="21" t="n">
        <f aca="false">F13+F12</f>
        <v>96382.9722114421</v>
      </c>
      <c r="G14" s="21" t="n">
        <f aca="false">G13+G12</f>
        <v>95991.9662389819</v>
      </c>
      <c r="H14" s="21" t="n">
        <f aca="false">H13+H12</f>
        <v>95600.9602665217</v>
      </c>
      <c r="I14" s="21" t="n">
        <f aca="false">I13+I12</f>
        <v>95209.9542940615</v>
      </c>
      <c r="J14" s="21" t="n">
        <f aca="false">J13+J12</f>
        <v>94818.9483216013</v>
      </c>
      <c r="K14" s="21" t="n">
        <f aca="false">K13+K12</f>
        <v>94427.942349141</v>
      </c>
      <c r="L14" s="21" t="n">
        <f aca="false">L13+L12</f>
        <v>94036.9363766808</v>
      </c>
      <c r="M14" s="21" t="n">
        <f aca="false">M13+M12</f>
        <v>93645.9304042206</v>
      </c>
      <c r="N14" s="21" t="n">
        <f aca="false">N13+N12</f>
        <v>93254.9244317604</v>
      </c>
      <c r="O14" s="21" t="n">
        <f aca="false">O13+O12</f>
        <v>92863.9184593002</v>
      </c>
      <c r="P14" s="21" t="n">
        <f aca="false">P13+P12</f>
        <v>92472.91248684</v>
      </c>
      <c r="Q14" s="21" t="n">
        <f aca="false">Q13+Q12</f>
        <v>92081.9065143798</v>
      </c>
      <c r="R14" s="21" t="n">
        <f aca="false">R13+R12</f>
        <v>91690.9005419196</v>
      </c>
      <c r="S14" s="21" t="n">
        <f aca="false">S13+S12</f>
        <v>91299.8945694593</v>
      </c>
      <c r="T14" s="21" t="n">
        <f aca="false">T13+T12</f>
        <v>90908.8885969991</v>
      </c>
      <c r="U14" s="21" t="n">
        <f aca="false">U13+U12</f>
        <v>90517.8826245389</v>
      </c>
      <c r="V14" s="21" t="n">
        <f aca="false">V13+V12</f>
        <v>90126.8766520787</v>
      </c>
      <c r="W14" s="21" t="n">
        <f aca="false">W13+W12</f>
        <v>89735.8706796185</v>
      </c>
      <c r="X14" s="21" t="n">
        <f aca="false">X13+X12</f>
        <v>89344.8647071583</v>
      </c>
      <c r="Y14" s="21" t="n">
        <f aca="false">Y13+Y12</f>
        <v>88953.8587346981</v>
      </c>
      <c r="Z14" s="21" t="n">
        <f aca="false">Z13+Z12</f>
        <v>88562.8527622379</v>
      </c>
      <c r="AA14" s="21" t="n">
        <f aca="false">AA13+AA12</f>
        <v>88171.8467897777</v>
      </c>
      <c r="AB14" s="21" t="n">
        <f aca="false">AB13+AB12</f>
        <v>87780.8408173175</v>
      </c>
      <c r="AC14" s="21" t="n">
        <f aca="false">AC13+AC12</f>
        <v>87389.8348448573</v>
      </c>
    </row>
    <row r="16" customFormat="false" ht="15" hidden="false" customHeight="false" outlineLevel="0" collapsed="false">
      <c r="A16" s="17" t="s">
        <v>330</v>
      </c>
    </row>
    <row r="17" customFormat="false" ht="15" hidden="false" customHeight="false" outlineLevel="0" collapsed="false">
      <c r="A17" s="2" t="s">
        <v>331</v>
      </c>
      <c r="B17" s="2" t="s">
        <v>209</v>
      </c>
      <c r="E17" s="19" t="n">
        <f aca="false">(1+in_ppa_esc)^(1-1)</f>
        <v>1</v>
      </c>
      <c r="F17" s="19" t="n">
        <f aca="false">(1+in_ppa_esc)^(2-1)</f>
        <v>1.01</v>
      </c>
      <c r="G17" s="19" t="n">
        <f aca="false">(1+in_ppa_esc)^(3-1)</f>
        <v>1.0201</v>
      </c>
      <c r="H17" s="19" t="n">
        <f aca="false">(1+in_ppa_esc)^(4-1)</f>
        <v>1.030301</v>
      </c>
      <c r="I17" s="19" t="n">
        <f aca="false">(1+in_ppa_esc)^(5-1)</f>
        <v>1.04060401</v>
      </c>
      <c r="J17" s="19" t="n">
        <f aca="false">(1+in_ppa_esc)^(6-1)</f>
        <v>1.0510100501</v>
      </c>
      <c r="K17" s="19" t="n">
        <f aca="false">(1+in_ppa_esc)^(7-1)</f>
        <v>1.061520150601</v>
      </c>
      <c r="L17" s="19" t="n">
        <f aca="false">(1+in_ppa_esc)^(8-1)</f>
        <v>1.07213535210701</v>
      </c>
      <c r="M17" s="19" t="n">
        <f aca="false">(1+in_ppa_esc)^(9-1)</f>
        <v>1.08285670562808</v>
      </c>
      <c r="N17" s="19" t="n">
        <f aca="false">(1+in_ppa_esc)^(10-1)</f>
        <v>1.09368527268436</v>
      </c>
      <c r="O17" s="19" t="n">
        <f aca="false">(1+in_ppa_esc)^(11-1)</f>
        <v>1.1046221254112</v>
      </c>
      <c r="P17" s="19" t="n">
        <f aca="false">(1+in_ppa_esc)^(12-1)</f>
        <v>1.11566834666532</v>
      </c>
      <c r="Q17" s="19" t="n">
        <f aca="false">(1+in_ppa_esc)^(13-1)</f>
        <v>1.12682503013197</v>
      </c>
      <c r="R17" s="19" t="n">
        <f aca="false">(1+in_ppa_esc)^(14-1)</f>
        <v>1.13809328043329</v>
      </c>
      <c r="S17" s="19" t="n">
        <f aca="false">(1+in_ppa_esc)^(15-1)</f>
        <v>1.14947421323762</v>
      </c>
      <c r="T17" s="19" t="n">
        <f aca="false">(1+in_ppa_esc)^(16-1)</f>
        <v>1.16096895537</v>
      </c>
      <c r="U17" s="19" t="n">
        <f aca="false">(1+in_ppa_esc)^(17-1)</f>
        <v>1.1725786449237</v>
      </c>
      <c r="V17" s="19" t="n">
        <f aca="false">(1+in_ppa_esc)^(18-1)</f>
        <v>1.18430443137294</v>
      </c>
      <c r="W17" s="19" t="n">
        <f aca="false">(1+in_ppa_esc)^(19-1)</f>
        <v>1.19614747568667</v>
      </c>
      <c r="X17" s="19" t="n">
        <f aca="false">(1+in_ppa_esc)^(20-1)</f>
        <v>1.20810895044353</v>
      </c>
      <c r="Y17" s="19" t="n">
        <f aca="false">(1+in_ppa_esc)^(21-1)</f>
        <v>1.22019003994797</v>
      </c>
      <c r="Z17" s="19" t="n">
        <f aca="false">(1+in_ppa_esc)^(22-1)</f>
        <v>1.23239194034745</v>
      </c>
      <c r="AA17" s="19" t="n">
        <f aca="false">(1+in_ppa_esc)^(23-1)</f>
        <v>1.24471585975092</v>
      </c>
      <c r="AB17" s="19" t="n">
        <f aca="false">(1+in_ppa_esc)^(24-1)</f>
        <v>1.25716301834843</v>
      </c>
      <c r="AC17" s="19" t="n">
        <f aca="false">(1+in_ppa_esc)^(25-1)</f>
        <v>1.26973464853191</v>
      </c>
    </row>
    <row r="18" customFormat="false" ht="15" hidden="false" customHeight="false" outlineLevel="0" collapsed="false">
      <c r="A18" s="2" t="s">
        <v>332</v>
      </c>
      <c r="B18" s="2" t="s">
        <v>112</v>
      </c>
      <c r="E18" s="19" t="n">
        <f aca="false">in_ppa_day*E17</f>
        <v>0.1</v>
      </c>
      <c r="F18" s="19" t="n">
        <f aca="false">in_ppa_day*F17</f>
        <v>0.101</v>
      </c>
      <c r="G18" s="19" t="n">
        <f aca="false">in_ppa_day*G17</f>
        <v>0.10201</v>
      </c>
      <c r="H18" s="19" t="n">
        <f aca="false">in_ppa_day*H17</f>
        <v>0.1030301</v>
      </c>
      <c r="I18" s="19" t="n">
        <f aca="false">in_ppa_day*I17</f>
        <v>0.104060401</v>
      </c>
      <c r="J18" s="19" t="n">
        <f aca="false">in_ppa_day*J17</f>
        <v>0.10510100501</v>
      </c>
      <c r="K18" s="19" t="n">
        <f aca="false">in_ppa_day*K17</f>
        <v>0.1061520150601</v>
      </c>
      <c r="L18" s="19" t="n">
        <f aca="false">in_ppa_day*L17</f>
        <v>0.107213535210701</v>
      </c>
      <c r="M18" s="19" t="n">
        <f aca="false">in_ppa_day*M17</f>
        <v>0.108285670562808</v>
      </c>
      <c r="N18" s="19" t="n">
        <f aca="false">in_ppa_day*N17</f>
        <v>0.109368527268436</v>
      </c>
      <c r="O18" s="19" t="n">
        <f aca="false">in_ppa_day*O17</f>
        <v>0.11046221254112</v>
      </c>
      <c r="P18" s="19" t="n">
        <f aca="false">in_ppa_day*P17</f>
        <v>0.111566834666532</v>
      </c>
      <c r="Q18" s="19" t="n">
        <f aca="false">in_ppa_day*Q17</f>
        <v>0.112682503013197</v>
      </c>
      <c r="R18" s="19" t="n">
        <f aca="false">in_ppa_day*R17</f>
        <v>0.113809328043329</v>
      </c>
      <c r="S18" s="19" t="n">
        <f aca="false">in_ppa_day*S17</f>
        <v>0.114947421323762</v>
      </c>
      <c r="T18" s="19" t="n">
        <f aca="false">in_ppa_day*T17</f>
        <v>0.116096895537</v>
      </c>
      <c r="U18" s="19" t="n">
        <f aca="false">in_ppa_day*U17</f>
        <v>0.11725786449237</v>
      </c>
      <c r="V18" s="19" t="n">
        <f aca="false">in_ppa_day*V17</f>
        <v>0.118430443137294</v>
      </c>
      <c r="W18" s="19" t="n">
        <f aca="false">in_ppa_day*W17</f>
        <v>0.119614747568667</v>
      </c>
      <c r="X18" s="19" t="n">
        <f aca="false">in_ppa_day*X17</f>
        <v>0.120810895044353</v>
      </c>
      <c r="Y18" s="19" t="n">
        <f aca="false">in_ppa_day*Y17</f>
        <v>0.122019003994797</v>
      </c>
      <c r="Z18" s="19" t="n">
        <f aca="false">in_ppa_day*Z17</f>
        <v>0.123239194034745</v>
      </c>
      <c r="AA18" s="19" t="n">
        <f aca="false">in_ppa_day*AA17</f>
        <v>0.124471585975092</v>
      </c>
      <c r="AB18" s="19" t="n">
        <f aca="false">in_ppa_day*AB17</f>
        <v>0.125716301834843</v>
      </c>
      <c r="AC18" s="19" t="n">
        <f aca="false">in_ppa_day*AC17</f>
        <v>0.126973464853191</v>
      </c>
    </row>
    <row r="19" customFormat="false" ht="15" hidden="false" customHeight="false" outlineLevel="0" collapsed="false">
      <c r="A19" s="2" t="s">
        <v>333</v>
      </c>
      <c r="B19" s="2" t="s">
        <v>112</v>
      </c>
      <c r="E19" s="19" t="n">
        <f aca="false">in_ppa_evening*E17</f>
        <v>0.16</v>
      </c>
      <c r="F19" s="19" t="n">
        <f aca="false">in_ppa_evening*F17</f>
        <v>0.1616</v>
      </c>
      <c r="G19" s="19" t="n">
        <f aca="false">in_ppa_evening*G17</f>
        <v>0.163216</v>
      </c>
      <c r="H19" s="19" t="n">
        <f aca="false">in_ppa_evening*H17</f>
        <v>0.16484816</v>
      </c>
      <c r="I19" s="19" t="n">
        <f aca="false">in_ppa_evening*I17</f>
        <v>0.1664966416</v>
      </c>
      <c r="J19" s="19" t="n">
        <f aca="false">in_ppa_evening*J17</f>
        <v>0.168161608016</v>
      </c>
      <c r="K19" s="19" t="n">
        <f aca="false">in_ppa_evening*K17</f>
        <v>0.16984322409616</v>
      </c>
      <c r="L19" s="19" t="n">
        <f aca="false">in_ppa_evening*L17</f>
        <v>0.171541656337122</v>
      </c>
      <c r="M19" s="19" t="n">
        <f aca="false">in_ppa_evening*M17</f>
        <v>0.173257072900493</v>
      </c>
      <c r="N19" s="19" t="n">
        <f aca="false">in_ppa_evening*N17</f>
        <v>0.174989643629498</v>
      </c>
      <c r="O19" s="19" t="n">
        <f aca="false">in_ppa_evening*O17</f>
        <v>0.176739540065793</v>
      </c>
      <c r="P19" s="19" t="n">
        <f aca="false">in_ppa_evening*P17</f>
        <v>0.178506935466451</v>
      </c>
      <c r="Q19" s="19" t="n">
        <f aca="false">in_ppa_evening*Q17</f>
        <v>0.180292004821115</v>
      </c>
      <c r="R19" s="19" t="n">
        <f aca="false">in_ppa_evening*R17</f>
        <v>0.182094924869326</v>
      </c>
      <c r="S19" s="19" t="n">
        <f aca="false">in_ppa_evening*S17</f>
        <v>0.18391587411802</v>
      </c>
      <c r="T19" s="19" t="n">
        <f aca="false">in_ppa_evening*T17</f>
        <v>0.1857550328592</v>
      </c>
      <c r="U19" s="19" t="n">
        <f aca="false">in_ppa_evening*U17</f>
        <v>0.187612583187792</v>
      </c>
      <c r="V19" s="19" t="n">
        <f aca="false">in_ppa_evening*V17</f>
        <v>0.18948870901967</v>
      </c>
      <c r="W19" s="19" t="n">
        <f aca="false">in_ppa_evening*W17</f>
        <v>0.191383596109866</v>
      </c>
      <c r="X19" s="19" t="n">
        <f aca="false">in_ppa_evening*X17</f>
        <v>0.193297432070965</v>
      </c>
      <c r="Y19" s="19" t="n">
        <f aca="false">in_ppa_evening*Y17</f>
        <v>0.195230406391675</v>
      </c>
      <c r="Z19" s="19" t="n">
        <f aca="false">in_ppa_evening*Z17</f>
        <v>0.197182710455592</v>
      </c>
      <c r="AA19" s="19" t="n">
        <f aca="false">in_ppa_evening*AA17</f>
        <v>0.199154537560147</v>
      </c>
      <c r="AB19" s="19" t="n">
        <f aca="false">in_ppa_evening*AB17</f>
        <v>0.201146082935749</v>
      </c>
      <c r="AC19" s="19" t="n">
        <f aca="false">in_ppa_evening*AC17</f>
        <v>0.203157543765106</v>
      </c>
    </row>
    <row r="20" customFormat="false" ht="15" hidden="false" customHeight="false" outlineLevel="0" collapsed="false">
      <c r="A20" s="2" t="s">
        <v>334</v>
      </c>
      <c r="B20" s="2" t="s">
        <v>74</v>
      </c>
      <c r="E20" s="20" t="n">
        <f aca="false">(E13*E18+E12*E19)*1000</f>
        <v>9677397.81839023</v>
      </c>
      <c r="F20" s="20" t="n">
        <f aca="false">(F13*F18+F12*F19)*1000</f>
        <v>9734680.19335566</v>
      </c>
      <c r="G20" s="20" t="n">
        <f aca="false">(G13*G18+G12*G19)*1000</f>
        <v>9792140.47603854</v>
      </c>
      <c r="H20" s="20" t="n">
        <f aca="false">(H13*H18+H12*H19)*1000</f>
        <v>9849776.49635576</v>
      </c>
      <c r="I20" s="20" t="n">
        <f aca="false">(I13*I18+I12*I19)*1000</f>
        <v>9907586.02303171</v>
      </c>
      <c r="J20" s="20" t="n">
        <f aca="false">(J13*J18+J12*J19)*1000</f>
        <v>9965566.76259155</v>
      </c>
      <c r="K20" s="20" t="n">
        <f aca="false">(K13*K18+K12*K19)*1000</f>
        <v>10023716.3583403</v>
      </c>
      <c r="L20" s="20" t="n">
        <f aca="false">(L13*L18+L12*L19)*1000</f>
        <v>10082032.3893277</v>
      </c>
      <c r="M20" s="20" t="n">
        <f aca="false">(M13*M18+M12*M19)*1000</f>
        <v>10140512.3692991</v>
      </c>
      <c r="N20" s="20" t="n">
        <f aca="false">(N13*N18+N12*N19)*1000</f>
        <v>10199153.7456309</v>
      </c>
      <c r="O20" s="20" t="n">
        <f aca="false">(O13*O18+O12*O19)*1000</f>
        <v>10257953.8982525</v>
      </c>
      <c r="P20" s="20" t="n">
        <f aca="false">(P13*P18+P12*P19)*1000</f>
        <v>10316910.1385519</v>
      </c>
      <c r="Q20" s="20" t="n">
        <f aca="false">(Q13*Q18+Q12*Q19)*1000</f>
        <v>10376019.7082675</v>
      </c>
      <c r="R20" s="20" t="n">
        <f aca="false">(R13*R18+R12*R19)*1000</f>
        <v>10435279.7783636</v>
      </c>
      <c r="S20" s="20" t="n">
        <f aca="false">(S13*S18+S12*S19)*1000</f>
        <v>10494687.4478907</v>
      </c>
      <c r="T20" s="20" t="n">
        <f aca="false">(T13*T18+T12*T19)*1000</f>
        <v>10554239.7428306</v>
      </c>
      <c r="U20" s="20" t="n">
        <f aca="false">(U13*U18+U12*U19)*1000</f>
        <v>10613933.6149244</v>
      </c>
      <c r="V20" s="20" t="n">
        <f aca="false">(V13*V18+V12*V19)*1000</f>
        <v>10673765.9404859</v>
      </c>
      <c r="W20" s="20" t="n">
        <f aca="false">(W13*W18+W12*W19)*1000</f>
        <v>10733733.5191971</v>
      </c>
      <c r="X20" s="20" t="n">
        <f aca="false">(X13*X18+X12*X19)*1000</f>
        <v>10793833.0728884</v>
      </c>
      <c r="Y20" s="20" t="n">
        <f aca="false">(Y13*Y18+Y12*Y19)*1000</f>
        <v>10854061.2443017</v>
      </c>
      <c r="Z20" s="20" t="n">
        <f aca="false">(Z13*Z18+Z12*Z19)*1000</f>
        <v>10914414.595836</v>
      </c>
      <c r="AA20" s="20" t="n">
        <f aca="false">(AA13*AA18+AA12*AA19)*1000</f>
        <v>10974889.6082765</v>
      </c>
      <c r="AB20" s="20" t="n">
        <f aca="false">(AB13*AB18+AB12*AB19)*1000</f>
        <v>11035482.6795062</v>
      </c>
      <c r="AC20" s="20" t="n">
        <f aca="false">(AC13*AC18+AC12*AC19)*1000</f>
        <v>11096190.1231997</v>
      </c>
    </row>
    <row r="21" customFormat="false" ht="15" hidden="false" customHeight="false" outlineLevel="0" collapsed="false">
      <c r="A21" s="3" t="s">
        <v>335</v>
      </c>
      <c r="B21" s="2" t="s">
        <v>74</v>
      </c>
      <c r="E21" s="21" t="n">
        <f aca="false">E20*in_collection*(1-in_fx_haircut)</f>
        <v>9105463.60732337</v>
      </c>
      <c r="F21" s="21" t="n">
        <f aca="false">F20*in_collection*(1-in_fx_haircut)</f>
        <v>9159360.59392834</v>
      </c>
      <c r="G21" s="21" t="n">
        <f aca="false">G20*in_collection*(1-in_fx_haircut)</f>
        <v>9213424.97390467</v>
      </c>
      <c r="H21" s="21" t="n">
        <f aca="false">H20*in_collection*(1-in_fx_haircut)</f>
        <v>9267654.70542113</v>
      </c>
      <c r="I21" s="21" t="n">
        <f aca="false">I20*in_collection*(1-in_fx_haircut)</f>
        <v>9322047.68907053</v>
      </c>
      <c r="J21" s="21" t="n">
        <f aca="false">J20*in_collection*(1-in_fx_haircut)</f>
        <v>9376601.76692239</v>
      </c>
      <c r="K21" s="21" t="n">
        <f aca="false">K20*in_collection*(1-in_fx_haircut)</f>
        <v>9431314.72156237</v>
      </c>
      <c r="L21" s="21" t="n">
        <f aca="false">L20*in_collection*(1-in_fx_haircut)</f>
        <v>9486184.27511845</v>
      </c>
      <c r="M21" s="21" t="n">
        <f aca="false">M20*in_collection*(1-in_fx_haircut)</f>
        <v>9541208.08827351</v>
      </c>
      <c r="N21" s="21" t="n">
        <f aca="false">N20*in_collection*(1-in_fx_haircut)</f>
        <v>9596383.75926415</v>
      </c>
      <c r="O21" s="21" t="n">
        <f aca="false">O20*in_collection*(1-in_fx_haircut)</f>
        <v>9651708.82286578</v>
      </c>
      <c r="P21" s="21" t="n">
        <f aca="false">P20*in_collection*(1-in_fx_haircut)</f>
        <v>9707180.74936351</v>
      </c>
      <c r="Q21" s="21" t="n">
        <f aca="false">Q20*in_collection*(1-in_fx_haircut)</f>
        <v>9762796.94350891</v>
      </c>
      <c r="R21" s="21" t="n">
        <f aca="false">R20*in_collection*(1-in_fx_haircut)</f>
        <v>9818554.74346229</v>
      </c>
      <c r="S21" s="21" t="n">
        <f aca="false">S20*in_collection*(1-in_fx_haircut)</f>
        <v>9874451.41972038</v>
      </c>
      <c r="T21" s="21" t="n">
        <f aca="false">T20*in_collection*(1-in_fx_haircut)</f>
        <v>9930484.17402928</v>
      </c>
      <c r="U21" s="21" t="n">
        <f aca="false">U20*in_collection*(1-in_fx_haircut)</f>
        <v>9986650.1382824</v>
      </c>
      <c r="V21" s="21" t="n">
        <f aca="false">V20*in_collection*(1-in_fx_haircut)</f>
        <v>10042946.3734032</v>
      </c>
      <c r="W21" s="21" t="n">
        <f aca="false">W20*in_collection*(1-in_fx_haircut)</f>
        <v>10099369.8682125</v>
      </c>
      <c r="X21" s="21" t="n">
        <f aca="false">X20*in_collection*(1-in_fx_haircut)</f>
        <v>10155917.5382807</v>
      </c>
      <c r="Y21" s="21" t="n">
        <f aca="false">Y20*in_collection*(1-in_fx_haircut)</f>
        <v>10212586.2247635</v>
      </c>
      <c r="Z21" s="21" t="n">
        <f aca="false">Z20*in_collection*(1-in_fx_haircut)</f>
        <v>10269372.6932221</v>
      </c>
      <c r="AA21" s="21" t="n">
        <f aca="false">AA20*in_collection*(1-in_fx_haircut)</f>
        <v>10326273.6324273</v>
      </c>
      <c r="AB21" s="21" t="n">
        <f aca="false">AB20*in_collection*(1-in_fx_haircut)</f>
        <v>10383285.6531474</v>
      </c>
      <c r="AC21" s="21" t="n">
        <f aca="false">AC20*in_collection*(1-in_fx_haircut)</f>
        <v>10440405.2869186</v>
      </c>
    </row>
    <row r="23" customFormat="false" ht="15" hidden="false" customHeight="false" outlineLevel="0" collapsed="false">
      <c r="A23" s="17" t="s">
        <v>336</v>
      </c>
    </row>
    <row r="24" customFormat="false" ht="15" hidden="false" customHeight="false" outlineLevel="0" collapsed="false">
      <c r="A24" s="2" t="s">
        <v>337</v>
      </c>
      <c r="B24" s="2" t="s">
        <v>209</v>
      </c>
      <c r="E24" s="19" t="n">
        <f aca="false">(1+in_opex_esc)^(1-1)</f>
        <v>1</v>
      </c>
      <c r="F24" s="19" t="n">
        <f aca="false">(1+in_opex_esc)^(2-1)</f>
        <v>1.025</v>
      </c>
      <c r="G24" s="19" t="n">
        <f aca="false">(1+in_opex_esc)^(3-1)</f>
        <v>1.050625</v>
      </c>
      <c r="H24" s="19" t="n">
        <f aca="false">(1+in_opex_esc)^(4-1)</f>
        <v>1.076890625</v>
      </c>
      <c r="I24" s="19" t="n">
        <f aca="false">(1+in_opex_esc)^(5-1)</f>
        <v>1.103812890625</v>
      </c>
      <c r="J24" s="19" t="n">
        <f aca="false">(1+in_opex_esc)^(6-1)</f>
        <v>1.13140821289062</v>
      </c>
      <c r="K24" s="19" t="n">
        <f aca="false">(1+in_opex_esc)^(7-1)</f>
        <v>1.15969341821289</v>
      </c>
      <c r="L24" s="19" t="n">
        <f aca="false">(1+in_opex_esc)^(8-1)</f>
        <v>1.18868575366821</v>
      </c>
      <c r="M24" s="19" t="n">
        <f aca="false">(1+in_opex_esc)^(9-1)</f>
        <v>1.21840289750992</v>
      </c>
      <c r="N24" s="19" t="n">
        <f aca="false">(1+in_opex_esc)^(10-1)</f>
        <v>1.24886296994767</v>
      </c>
      <c r="O24" s="19" t="n">
        <f aca="false">(1+in_opex_esc)^(11-1)</f>
        <v>1.28008454419636</v>
      </c>
      <c r="P24" s="19" t="n">
        <f aca="false">(1+in_opex_esc)^(12-1)</f>
        <v>1.31208665780127</v>
      </c>
      <c r="Q24" s="19" t="n">
        <f aca="false">(1+in_opex_esc)^(13-1)</f>
        <v>1.3448888242463</v>
      </c>
      <c r="R24" s="19" t="n">
        <f aca="false">(1+in_opex_esc)^(14-1)</f>
        <v>1.37851104485245</v>
      </c>
      <c r="S24" s="19" t="n">
        <f aca="false">(1+in_opex_esc)^(15-1)</f>
        <v>1.41297382097377</v>
      </c>
      <c r="T24" s="19" t="n">
        <f aca="false">(1+in_opex_esc)^(16-1)</f>
        <v>1.44829816649811</v>
      </c>
      <c r="U24" s="19" t="n">
        <f aca="false">(1+in_opex_esc)^(17-1)</f>
        <v>1.48450562066056</v>
      </c>
      <c r="V24" s="19" t="n">
        <f aca="false">(1+in_opex_esc)^(18-1)</f>
        <v>1.52161826117708</v>
      </c>
      <c r="W24" s="19" t="n">
        <f aca="false">(1+in_opex_esc)^(19-1)</f>
        <v>1.5596587177065</v>
      </c>
      <c r="X24" s="19" t="n">
        <f aca="false">(1+in_opex_esc)^(20-1)</f>
        <v>1.59865018564917</v>
      </c>
      <c r="Y24" s="19" t="n">
        <f aca="false">(1+in_opex_esc)^(21-1)</f>
        <v>1.63861644029039</v>
      </c>
      <c r="Z24" s="19" t="n">
        <f aca="false">(1+in_opex_esc)^(22-1)</f>
        <v>1.67958185129765</v>
      </c>
      <c r="AA24" s="19" t="n">
        <f aca="false">(1+in_opex_esc)^(23-1)</f>
        <v>1.7215713975801</v>
      </c>
      <c r="AB24" s="19" t="n">
        <f aca="false">(1+in_opex_esc)^(24-1)</f>
        <v>1.7646106825196</v>
      </c>
      <c r="AC24" s="19" t="n">
        <f aca="false">(1+in_opex_esc)^(25-1)</f>
        <v>1.80872594958259</v>
      </c>
    </row>
    <row r="25" customFormat="false" ht="15" hidden="false" customHeight="false" outlineLevel="0" collapsed="false">
      <c r="A25" s="2" t="s">
        <v>338</v>
      </c>
      <c r="B25" s="2" t="s">
        <v>74</v>
      </c>
      <c r="E25" s="20" t="n">
        <f aca="false">in_om_per_kwp*in_mwp*1000*E24*in_opex_mult</f>
        <v>540000</v>
      </c>
      <c r="F25" s="20" t="n">
        <f aca="false">in_om_per_kwp*in_mwp*1000*F24*in_opex_mult</f>
        <v>553500</v>
      </c>
      <c r="G25" s="20" t="n">
        <f aca="false">in_om_per_kwp*in_mwp*1000*G24*in_opex_mult</f>
        <v>567337.5</v>
      </c>
      <c r="H25" s="20" t="n">
        <f aca="false">in_om_per_kwp*in_mwp*1000*H24*in_opex_mult</f>
        <v>581520.9375</v>
      </c>
      <c r="I25" s="20" t="n">
        <f aca="false">in_om_per_kwp*in_mwp*1000*I24*in_opex_mult</f>
        <v>596058.9609375</v>
      </c>
      <c r="J25" s="20" t="n">
        <f aca="false">in_om_per_kwp*in_mwp*1000*J24*in_opex_mult</f>
        <v>610960.434960937</v>
      </c>
      <c r="K25" s="20" t="n">
        <f aca="false">in_om_per_kwp*in_mwp*1000*K24*in_opex_mult</f>
        <v>626234.445834961</v>
      </c>
      <c r="L25" s="20" t="n">
        <f aca="false">in_om_per_kwp*in_mwp*1000*L24*in_opex_mult</f>
        <v>641890.306980835</v>
      </c>
      <c r="M25" s="20" t="n">
        <f aca="false">in_om_per_kwp*in_mwp*1000*M24*in_opex_mult</f>
        <v>657937.564655355</v>
      </c>
      <c r="N25" s="20" t="n">
        <f aca="false">in_om_per_kwp*in_mwp*1000*N24*in_opex_mult</f>
        <v>674386.003771739</v>
      </c>
      <c r="O25" s="20" t="n">
        <f aca="false">in_om_per_kwp*in_mwp*1000*O24*in_opex_mult</f>
        <v>691245.653866033</v>
      </c>
      <c r="P25" s="20" t="n">
        <f aca="false">in_om_per_kwp*in_mwp*1000*P24*in_opex_mult</f>
        <v>708526.795212683</v>
      </c>
      <c r="Q25" s="20" t="n">
        <f aca="false">in_om_per_kwp*in_mwp*1000*Q24*in_opex_mult</f>
        <v>726239.965093</v>
      </c>
      <c r="R25" s="20" t="n">
        <f aca="false">in_om_per_kwp*in_mwp*1000*R24*in_opex_mult</f>
        <v>744395.964220325</v>
      </c>
      <c r="S25" s="20" t="n">
        <f aca="false">in_om_per_kwp*in_mwp*1000*S24*in_opex_mult</f>
        <v>763005.863325834</v>
      </c>
      <c r="T25" s="20" t="n">
        <f aca="false">in_om_per_kwp*in_mwp*1000*T24*in_opex_mult</f>
        <v>782081.009908979</v>
      </c>
      <c r="U25" s="20" t="n">
        <f aca="false">in_om_per_kwp*in_mwp*1000*U24*in_opex_mult</f>
        <v>801633.035156704</v>
      </c>
      <c r="V25" s="20" t="n">
        <f aca="false">in_om_per_kwp*in_mwp*1000*V24*in_opex_mult</f>
        <v>821673.861035621</v>
      </c>
      <c r="W25" s="20" t="n">
        <f aca="false">in_om_per_kwp*in_mwp*1000*W24*in_opex_mult</f>
        <v>842215.707561512</v>
      </c>
      <c r="X25" s="20" t="n">
        <f aca="false">in_om_per_kwp*in_mwp*1000*X24*in_opex_mult</f>
        <v>863271.100250549</v>
      </c>
      <c r="Y25" s="20" t="n">
        <f aca="false">in_om_per_kwp*in_mwp*1000*Y24*in_opex_mult</f>
        <v>884852.877756813</v>
      </c>
      <c r="Z25" s="20" t="n">
        <f aca="false">in_om_per_kwp*in_mwp*1000*Z24*in_opex_mult</f>
        <v>906974.199700733</v>
      </c>
      <c r="AA25" s="20" t="n">
        <f aca="false">in_om_per_kwp*in_mwp*1000*AA24*in_opex_mult</f>
        <v>929648.554693251</v>
      </c>
      <c r="AB25" s="20" t="n">
        <f aca="false">in_om_per_kwp*in_mwp*1000*AB24*in_opex_mult</f>
        <v>952889.768560583</v>
      </c>
      <c r="AC25" s="20" t="n">
        <f aca="false">in_om_per_kwp*in_mwp*1000*AC24*in_opex_mult</f>
        <v>976712.012774597</v>
      </c>
    </row>
    <row r="26" customFormat="false" ht="15" hidden="false" customHeight="false" outlineLevel="0" collapsed="false">
      <c r="A26" s="2" t="s">
        <v>339</v>
      </c>
      <c r="B26" s="2" t="s">
        <v>74</v>
      </c>
      <c r="E26" s="20" t="n">
        <f aca="false">in_insurance_pct*x_capex*E24*in_opex_mult</f>
        <v>193465.656</v>
      </c>
      <c r="F26" s="20" t="n">
        <f aca="false">in_insurance_pct*x_capex*F24*in_opex_mult</f>
        <v>198302.2974</v>
      </c>
      <c r="G26" s="20" t="n">
        <f aca="false">in_insurance_pct*x_capex*G24*in_opex_mult</f>
        <v>203259.854835</v>
      </c>
      <c r="H26" s="20" t="n">
        <f aca="false">in_insurance_pct*x_capex*H24*in_opex_mult</f>
        <v>208341.351205875</v>
      </c>
      <c r="I26" s="20" t="n">
        <f aca="false">in_insurance_pct*x_capex*I24*in_opex_mult</f>
        <v>213549.884986022</v>
      </c>
      <c r="J26" s="20" t="n">
        <f aca="false">in_insurance_pct*x_capex*J24*in_opex_mult</f>
        <v>218888.632110672</v>
      </c>
      <c r="K26" s="20" t="n">
        <f aca="false">in_insurance_pct*x_capex*K24*in_opex_mult</f>
        <v>224360.847913439</v>
      </c>
      <c r="L26" s="20" t="n">
        <f aca="false">in_insurance_pct*x_capex*L24*in_opex_mult</f>
        <v>229969.869111275</v>
      </c>
      <c r="M26" s="20" t="n">
        <f aca="false">in_insurance_pct*x_capex*M24*in_opex_mult</f>
        <v>235719.115839057</v>
      </c>
      <c r="N26" s="20" t="n">
        <f aca="false">in_insurance_pct*x_capex*N24*in_opex_mult</f>
        <v>241612.093735033</v>
      </c>
      <c r="O26" s="20" t="n">
        <f aca="false">in_insurance_pct*x_capex*O24*in_opex_mult</f>
        <v>247652.396078409</v>
      </c>
      <c r="P26" s="20" t="n">
        <f aca="false">in_insurance_pct*x_capex*P24*in_opex_mult</f>
        <v>253843.705980369</v>
      </c>
      <c r="Q26" s="20" t="n">
        <f aca="false">in_insurance_pct*x_capex*Q24*in_opex_mult</f>
        <v>260189.798629879</v>
      </c>
      <c r="R26" s="20" t="n">
        <f aca="false">in_insurance_pct*x_capex*R24*in_opex_mult</f>
        <v>266694.543595626</v>
      </c>
      <c r="S26" s="20" t="n">
        <f aca="false">in_insurance_pct*x_capex*S24*in_opex_mult</f>
        <v>273361.907185516</v>
      </c>
      <c r="T26" s="20" t="n">
        <f aca="false">in_insurance_pct*x_capex*T24*in_opex_mult</f>
        <v>280195.954865154</v>
      </c>
      <c r="U26" s="20" t="n">
        <f aca="false">in_insurance_pct*x_capex*U24*in_opex_mult</f>
        <v>287200.853736783</v>
      </c>
      <c r="V26" s="20" t="n">
        <f aca="false">in_insurance_pct*x_capex*V24*in_opex_mult</f>
        <v>294380.875080202</v>
      </c>
      <c r="W26" s="20" t="n">
        <f aca="false">in_insurance_pct*x_capex*W24*in_opex_mult</f>
        <v>301740.396957207</v>
      </c>
      <c r="X26" s="20" t="n">
        <f aca="false">in_insurance_pct*x_capex*X24*in_opex_mult</f>
        <v>309283.906881138</v>
      </c>
      <c r="Y26" s="20" t="n">
        <f aca="false">in_insurance_pct*x_capex*Y24*in_opex_mult</f>
        <v>317016.004553166</v>
      </c>
      <c r="Z26" s="20" t="n">
        <f aca="false">in_insurance_pct*x_capex*Z24*in_opex_mult</f>
        <v>324941.404666995</v>
      </c>
      <c r="AA26" s="20" t="n">
        <f aca="false">in_insurance_pct*x_capex*AA24*in_opex_mult</f>
        <v>333064.93978367</v>
      </c>
      <c r="AB26" s="20" t="n">
        <f aca="false">in_insurance_pct*x_capex*AB24*in_opex_mult</f>
        <v>341391.563278262</v>
      </c>
      <c r="AC26" s="20" t="n">
        <f aca="false">in_insurance_pct*x_capex*AC24*in_opex_mult</f>
        <v>349926.352360218</v>
      </c>
    </row>
    <row r="27" customFormat="false" ht="15" hidden="false" customHeight="false" outlineLevel="0" collapsed="false">
      <c r="A27" s="2" t="s">
        <v>340</v>
      </c>
      <c r="B27" s="2" t="s">
        <v>74</v>
      </c>
      <c r="E27" s="20" t="n">
        <f aca="false">in_pri_pct_debt*x_debt*E24*in_opex_mult</f>
        <v>161360.889936091</v>
      </c>
      <c r="F27" s="20" t="n">
        <f aca="false">in_pri_pct_debt*x_debt*F24*in_opex_mult</f>
        <v>165394.912184493</v>
      </c>
      <c r="G27" s="20" t="n">
        <f aca="false">in_pri_pct_debt*x_debt*G24*in_opex_mult</f>
        <v>169529.784989105</v>
      </c>
      <c r="H27" s="20" t="n">
        <f aca="false">in_pri_pct_debt*x_debt*H24*in_opex_mult</f>
        <v>173768.029613833</v>
      </c>
      <c r="I27" s="20" t="n">
        <f aca="false">in_pri_pct_debt*x_debt*I24*in_opex_mult</f>
        <v>178112.230354179</v>
      </c>
      <c r="J27" s="20" t="n">
        <f aca="false">in_pri_pct_debt*x_debt*J24*in_opex_mult</f>
        <v>182565.036113033</v>
      </c>
      <c r="K27" s="20" t="n">
        <f aca="false">in_pri_pct_debt*x_debt*K24*in_opex_mult</f>
        <v>187129.162015859</v>
      </c>
      <c r="L27" s="20" t="n">
        <f aca="false">in_pri_pct_debt*x_debt*L24*in_opex_mult</f>
        <v>191807.391066255</v>
      </c>
      <c r="M27" s="20" t="n">
        <f aca="false">in_pri_pct_debt*x_debt*M24*in_opex_mult</f>
        <v>196602.575842912</v>
      </c>
      <c r="N27" s="20" t="n">
        <f aca="false">in_pri_pct_debt*x_debt*N24*in_opex_mult</f>
        <v>201517.640238984</v>
      </c>
      <c r="O27" s="20" t="n">
        <f aca="false">in_pri_pct_debt*x_debt*O24*in_opex_mult</f>
        <v>206555.581244959</v>
      </c>
      <c r="P27" s="20" t="n">
        <f aca="false">in_pri_pct_debt*x_debt*P24*in_opex_mult</f>
        <v>211719.470776083</v>
      </c>
      <c r="Q27" s="20" t="n">
        <f aca="false">in_pri_pct_debt*x_debt*Q24*in_opex_mult</f>
        <v>217012.457545485</v>
      </c>
      <c r="R27" s="20" t="n">
        <f aca="false">in_pri_pct_debt*x_debt*R24*in_opex_mult</f>
        <v>222437.768984122</v>
      </c>
      <c r="S27" s="20" t="n">
        <f aca="false">in_pri_pct_debt*x_debt*S24*in_opex_mult</f>
        <v>227998.713208725</v>
      </c>
      <c r="T27" s="20" t="n">
        <f aca="false">in_pri_pct_debt*x_debt*T24*in_opex_mult</f>
        <v>233698.681038943</v>
      </c>
      <c r="U27" s="20" t="n">
        <f aca="false">in_pri_pct_debt*x_debt*U24*in_opex_mult</f>
        <v>239541.148064917</v>
      </c>
      <c r="V27" s="20" t="n">
        <f aca="false">in_pri_pct_debt*x_debt*V24*in_opex_mult</f>
        <v>245529.67676654</v>
      </c>
      <c r="W27" s="20" t="n">
        <f aca="false">in_pri_pct_debt*x_debt*W24*in_opex_mult</f>
        <v>251667.918685703</v>
      </c>
      <c r="X27" s="20" t="n">
        <f aca="false">in_pri_pct_debt*x_debt*X24*in_opex_mult</f>
        <v>257959.616652846</v>
      </c>
      <c r="Y27" s="20" t="n">
        <f aca="false">in_pri_pct_debt*x_debt*Y24*in_opex_mult</f>
        <v>264408.607069167</v>
      </c>
      <c r="Z27" s="20" t="n">
        <f aca="false">in_pri_pct_debt*x_debt*Z24*in_opex_mult</f>
        <v>271018.822245896</v>
      </c>
      <c r="AA27" s="20" t="n">
        <f aca="false">in_pri_pct_debt*x_debt*AA24*in_opex_mult</f>
        <v>277794.292802043</v>
      </c>
      <c r="AB27" s="20" t="n">
        <f aca="false">in_pri_pct_debt*x_debt*AB24*in_opex_mult</f>
        <v>284739.150122094</v>
      </c>
      <c r="AC27" s="20" t="n">
        <f aca="false">in_pri_pct_debt*x_debt*AC24*in_opex_mult</f>
        <v>291857.628875147</v>
      </c>
    </row>
    <row r="28" customFormat="false" ht="15" hidden="false" customHeight="false" outlineLevel="0" collapsed="false">
      <c r="A28" s="2" t="s">
        <v>341</v>
      </c>
      <c r="B28" s="2" t="s">
        <v>74</v>
      </c>
      <c r="E28" s="20" t="n">
        <f aca="false">in_security_fix*E24*in_opex_mult</f>
        <v>250000</v>
      </c>
      <c r="F28" s="20" t="n">
        <f aca="false">in_security_fix*F24*in_opex_mult</f>
        <v>256250</v>
      </c>
      <c r="G28" s="20" t="n">
        <f aca="false">in_security_fix*G24*in_opex_mult</f>
        <v>262656.25</v>
      </c>
      <c r="H28" s="20" t="n">
        <f aca="false">in_security_fix*H24*in_opex_mult</f>
        <v>269222.65625</v>
      </c>
      <c r="I28" s="20" t="n">
        <f aca="false">in_security_fix*I24*in_opex_mult</f>
        <v>275953.22265625</v>
      </c>
      <c r="J28" s="20" t="n">
        <f aca="false">in_security_fix*J24*in_opex_mult</f>
        <v>282852.053222656</v>
      </c>
      <c r="K28" s="20" t="n">
        <f aca="false">in_security_fix*K24*in_opex_mult</f>
        <v>289923.354553223</v>
      </c>
      <c r="L28" s="20" t="n">
        <f aca="false">in_security_fix*L24*in_opex_mult</f>
        <v>297171.438417053</v>
      </c>
      <c r="M28" s="20" t="n">
        <f aca="false">in_security_fix*M24*in_opex_mult</f>
        <v>304600.724377479</v>
      </c>
      <c r="N28" s="20" t="n">
        <f aca="false">in_security_fix*N24*in_opex_mult</f>
        <v>312215.742486916</v>
      </c>
      <c r="O28" s="20" t="n">
        <f aca="false">in_security_fix*O24*in_opex_mult</f>
        <v>320021.136049089</v>
      </c>
      <c r="P28" s="20" t="n">
        <f aca="false">in_security_fix*P24*in_opex_mult</f>
        <v>328021.664450316</v>
      </c>
      <c r="Q28" s="20" t="n">
        <f aca="false">in_security_fix*Q24*in_opex_mult</f>
        <v>336222.206061574</v>
      </c>
      <c r="R28" s="20" t="n">
        <f aca="false">in_security_fix*R24*in_opex_mult</f>
        <v>344627.761213114</v>
      </c>
      <c r="S28" s="20" t="n">
        <f aca="false">in_security_fix*S24*in_opex_mult</f>
        <v>353243.455243441</v>
      </c>
      <c r="T28" s="20" t="n">
        <f aca="false">in_security_fix*T24*in_opex_mult</f>
        <v>362074.541624527</v>
      </c>
      <c r="U28" s="20" t="n">
        <f aca="false">in_security_fix*U24*in_opex_mult</f>
        <v>371126.405165141</v>
      </c>
      <c r="V28" s="20" t="n">
        <f aca="false">in_security_fix*V24*in_opex_mult</f>
        <v>380404.565294269</v>
      </c>
      <c r="W28" s="20" t="n">
        <f aca="false">in_security_fix*W24*in_opex_mult</f>
        <v>389914.679426626</v>
      </c>
      <c r="X28" s="20" t="n">
        <f aca="false">in_security_fix*X24*in_opex_mult</f>
        <v>399662.546412291</v>
      </c>
      <c r="Y28" s="20" t="n">
        <f aca="false">in_security_fix*Y24*in_opex_mult</f>
        <v>409654.110072599</v>
      </c>
      <c r="Z28" s="20" t="n">
        <f aca="false">in_security_fix*Z24*in_opex_mult</f>
        <v>419895.462824414</v>
      </c>
      <c r="AA28" s="20" t="n">
        <f aca="false">in_security_fix*AA24*in_opex_mult</f>
        <v>430392.849395024</v>
      </c>
      <c r="AB28" s="20" t="n">
        <f aca="false">in_security_fix*AB24*in_opex_mult</f>
        <v>441152.670629899</v>
      </c>
      <c r="AC28" s="20" t="n">
        <f aca="false">in_security_fix*AC24*in_opex_mult</f>
        <v>452181.487395647</v>
      </c>
    </row>
    <row r="29" customFormat="false" ht="15" hidden="false" customHeight="false" outlineLevel="0" collapsed="false">
      <c r="A29" s="2" t="s">
        <v>342</v>
      </c>
      <c r="B29" s="2" t="s">
        <v>74</v>
      </c>
      <c r="E29" s="20" t="n">
        <f aca="false">in_land_lease_per_ha*in_land_ha_per_mwp*in_mwp*E24*in_opex_mult</f>
        <v>46800</v>
      </c>
      <c r="F29" s="20" t="n">
        <f aca="false">in_land_lease_per_ha*in_land_ha_per_mwp*in_mwp*F24*in_opex_mult</f>
        <v>47970</v>
      </c>
      <c r="G29" s="20" t="n">
        <f aca="false">in_land_lease_per_ha*in_land_ha_per_mwp*in_mwp*G24*in_opex_mult</f>
        <v>49169.25</v>
      </c>
      <c r="H29" s="20" t="n">
        <f aca="false">in_land_lease_per_ha*in_land_ha_per_mwp*in_mwp*H24*in_opex_mult</f>
        <v>50398.48125</v>
      </c>
      <c r="I29" s="20" t="n">
        <f aca="false">in_land_lease_per_ha*in_land_ha_per_mwp*in_mwp*I24*in_opex_mult</f>
        <v>51658.44328125</v>
      </c>
      <c r="J29" s="20" t="n">
        <f aca="false">in_land_lease_per_ha*in_land_ha_per_mwp*in_mwp*J24*in_opex_mult</f>
        <v>52949.9043632812</v>
      </c>
      <c r="K29" s="20" t="n">
        <f aca="false">in_land_lease_per_ha*in_land_ha_per_mwp*in_mwp*K24*in_opex_mult</f>
        <v>54273.6519723633</v>
      </c>
      <c r="L29" s="20" t="n">
        <f aca="false">in_land_lease_per_ha*in_land_ha_per_mwp*in_mwp*L24*in_opex_mult</f>
        <v>55630.4932716723</v>
      </c>
      <c r="M29" s="20" t="n">
        <f aca="false">in_land_lease_per_ha*in_land_ha_per_mwp*in_mwp*M24*in_opex_mult</f>
        <v>57021.2556034641</v>
      </c>
      <c r="N29" s="20" t="n">
        <f aca="false">in_land_lease_per_ha*in_land_ha_per_mwp*in_mwp*N24*in_opex_mult</f>
        <v>58446.7869935507</v>
      </c>
      <c r="O29" s="20" t="n">
        <f aca="false">in_land_lease_per_ha*in_land_ha_per_mwp*in_mwp*O24*in_opex_mult</f>
        <v>59907.9566683895</v>
      </c>
      <c r="P29" s="20" t="n">
        <f aca="false">in_land_lease_per_ha*in_land_ha_per_mwp*in_mwp*P24*in_opex_mult</f>
        <v>61405.6555850992</v>
      </c>
      <c r="Q29" s="20" t="n">
        <f aca="false">in_land_lease_per_ha*in_land_ha_per_mwp*in_mwp*Q24*in_opex_mult</f>
        <v>62940.7969747267</v>
      </c>
      <c r="R29" s="20" t="n">
        <f aca="false">in_land_lease_per_ha*in_land_ha_per_mwp*in_mwp*R24*in_opex_mult</f>
        <v>64514.3168990949</v>
      </c>
      <c r="S29" s="20" t="n">
        <f aca="false">in_land_lease_per_ha*in_land_ha_per_mwp*in_mwp*S24*in_opex_mult</f>
        <v>66127.1748215722</v>
      </c>
      <c r="T29" s="20" t="n">
        <f aca="false">in_land_lease_per_ha*in_land_ha_per_mwp*in_mwp*T24*in_opex_mult</f>
        <v>67780.3541921115</v>
      </c>
      <c r="U29" s="20" t="n">
        <f aca="false">in_land_lease_per_ha*in_land_ha_per_mwp*in_mwp*U24*in_opex_mult</f>
        <v>69474.8630469143</v>
      </c>
      <c r="V29" s="20" t="n">
        <f aca="false">in_land_lease_per_ha*in_land_ha_per_mwp*in_mwp*V24*in_opex_mult</f>
        <v>71211.7346230872</v>
      </c>
      <c r="W29" s="20" t="n">
        <f aca="false">in_land_lease_per_ha*in_land_ha_per_mwp*in_mwp*W24*in_opex_mult</f>
        <v>72992.0279886643</v>
      </c>
      <c r="X29" s="20" t="n">
        <f aca="false">in_land_lease_per_ha*in_land_ha_per_mwp*in_mwp*X24*in_opex_mult</f>
        <v>74816.8286883809</v>
      </c>
      <c r="Y29" s="20" t="n">
        <f aca="false">in_land_lease_per_ha*in_land_ha_per_mwp*in_mwp*Y24*in_opex_mult</f>
        <v>76687.2494055905</v>
      </c>
      <c r="Z29" s="20" t="n">
        <f aca="false">in_land_lease_per_ha*in_land_ha_per_mwp*in_mwp*Z24*in_opex_mult</f>
        <v>78604.4306407302</v>
      </c>
      <c r="AA29" s="20" t="n">
        <f aca="false">in_land_lease_per_ha*in_land_ha_per_mwp*in_mwp*AA24*in_opex_mult</f>
        <v>80569.5414067485</v>
      </c>
      <c r="AB29" s="20" t="n">
        <f aca="false">in_land_lease_per_ha*in_land_ha_per_mwp*in_mwp*AB24*in_opex_mult</f>
        <v>82583.7799419172</v>
      </c>
      <c r="AC29" s="20" t="n">
        <f aca="false">in_land_lease_per_ha*in_land_ha_per_mwp*in_mwp*AC24*in_opex_mult</f>
        <v>84648.3744404651</v>
      </c>
    </row>
    <row r="30" customFormat="false" ht="15" hidden="false" customHeight="false" outlineLevel="0" collapsed="false">
      <c r="A30" s="2" t="s">
        <v>343</v>
      </c>
      <c r="B30" s="2" t="s">
        <v>74</v>
      </c>
      <c r="E30" s="20" t="n">
        <f aca="false">in_admin_fix*E24*in_opex_mult</f>
        <v>300000</v>
      </c>
      <c r="F30" s="20" t="n">
        <f aca="false">in_admin_fix*F24*in_opex_mult</f>
        <v>307500</v>
      </c>
      <c r="G30" s="20" t="n">
        <f aca="false">in_admin_fix*G24*in_opex_mult</f>
        <v>315187.5</v>
      </c>
      <c r="H30" s="20" t="n">
        <f aca="false">in_admin_fix*H24*in_opex_mult</f>
        <v>323067.1875</v>
      </c>
      <c r="I30" s="20" t="n">
        <f aca="false">in_admin_fix*I24*in_opex_mult</f>
        <v>331143.8671875</v>
      </c>
      <c r="J30" s="20" t="n">
        <f aca="false">in_admin_fix*J24*in_opex_mult</f>
        <v>339422.463867187</v>
      </c>
      <c r="K30" s="20" t="n">
        <f aca="false">in_admin_fix*K24*in_opex_mult</f>
        <v>347908.025463867</v>
      </c>
      <c r="L30" s="20" t="n">
        <f aca="false">in_admin_fix*L24*in_opex_mult</f>
        <v>356605.726100464</v>
      </c>
      <c r="M30" s="20" t="n">
        <f aca="false">in_admin_fix*M24*in_opex_mult</f>
        <v>365520.869252975</v>
      </c>
      <c r="N30" s="20" t="n">
        <f aca="false">in_admin_fix*N24*in_opex_mult</f>
        <v>374658.8909843</v>
      </c>
      <c r="O30" s="20" t="n">
        <f aca="false">in_admin_fix*O24*in_opex_mult</f>
        <v>384025.363258907</v>
      </c>
      <c r="P30" s="20" t="n">
        <f aca="false">in_admin_fix*P24*in_opex_mult</f>
        <v>393625.99734038</v>
      </c>
      <c r="Q30" s="20" t="n">
        <f aca="false">in_admin_fix*Q24*in_opex_mult</f>
        <v>403466.647273889</v>
      </c>
      <c r="R30" s="20" t="n">
        <f aca="false">in_admin_fix*R24*in_opex_mult</f>
        <v>413553.313455736</v>
      </c>
      <c r="S30" s="20" t="n">
        <f aca="false">in_admin_fix*S24*in_opex_mult</f>
        <v>423892.14629213</v>
      </c>
      <c r="T30" s="20" t="n">
        <f aca="false">in_admin_fix*T24*in_opex_mult</f>
        <v>434489.449949433</v>
      </c>
      <c r="U30" s="20" t="n">
        <f aca="false">in_admin_fix*U24*in_opex_mult</f>
        <v>445351.686198169</v>
      </c>
      <c r="V30" s="20" t="n">
        <f aca="false">in_admin_fix*V24*in_opex_mult</f>
        <v>456485.478353123</v>
      </c>
      <c r="W30" s="20" t="n">
        <f aca="false">in_admin_fix*W24*in_opex_mult</f>
        <v>467897.615311951</v>
      </c>
      <c r="X30" s="20" t="n">
        <f aca="false">in_admin_fix*X24*in_opex_mult</f>
        <v>479595.05569475</v>
      </c>
      <c r="Y30" s="20" t="n">
        <f aca="false">in_admin_fix*Y24*in_opex_mult</f>
        <v>491584.932087118</v>
      </c>
      <c r="Z30" s="20" t="n">
        <f aca="false">in_admin_fix*Z24*in_opex_mult</f>
        <v>503874.555389296</v>
      </c>
      <c r="AA30" s="20" t="n">
        <f aca="false">in_admin_fix*AA24*in_opex_mult</f>
        <v>516471.419274029</v>
      </c>
      <c r="AB30" s="20" t="n">
        <f aca="false">in_admin_fix*AB24*in_opex_mult</f>
        <v>529383.204755879</v>
      </c>
      <c r="AC30" s="20" t="n">
        <f aca="false">in_admin_fix*AC24*in_opex_mult</f>
        <v>542617.784874776</v>
      </c>
    </row>
    <row r="31" customFormat="false" ht="15" hidden="false" customHeight="false" outlineLevel="0" collapsed="false">
      <c r="A31" s="2" t="s">
        <v>344</v>
      </c>
      <c r="B31" s="2" t="s">
        <v>74</v>
      </c>
      <c r="E31" s="20" t="n">
        <f aca="false">in_bess_om_pct*x_capex_bess*E24*in_opex_mult</f>
        <v>0</v>
      </c>
      <c r="F31" s="20" t="n">
        <f aca="false">in_bess_om_pct*x_capex_bess*F24*in_opex_mult</f>
        <v>0</v>
      </c>
      <c r="G31" s="20" t="n">
        <f aca="false">in_bess_om_pct*x_capex_bess*G24*in_opex_mult</f>
        <v>0</v>
      </c>
      <c r="H31" s="20" t="n">
        <f aca="false">in_bess_om_pct*x_capex_bess*H24*in_opex_mult</f>
        <v>0</v>
      </c>
      <c r="I31" s="20" t="n">
        <f aca="false">in_bess_om_pct*x_capex_bess*I24*in_opex_mult</f>
        <v>0</v>
      </c>
      <c r="J31" s="20" t="n">
        <f aca="false">in_bess_om_pct*x_capex_bess*J24*in_opex_mult</f>
        <v>0</v>
      </c>
      <c r="K31" s="20" t="n">
        <f aca="false">in_bess_om_pct*x_capex_bess*K24*in_opex_mult</f>
        <v>0</v>
      </c>
      <c r="L31" s="20" t="n">
        <f aca="false">in_bess_om_pct*x_capex_bess*L24*in_opex_mult</f>
        <v>0</v>
      </c>
      <c r="M31" s="20" t="n">
        <f aca="false">in_bess_om_pct*x_capex_bess*M24*in_opex_mult</f>
        <v>0</v>
      </c>
      <c r="N31" s="20" t="n">
        <f aca="false">in_bess_om_pct*x_capex_bess*N24*in_opex_mult</f>
        <v>0</v>
      </c>
      <c r="O31" s="20" t="n">
        <f aca="false">in_bess_om_pct*x_capex_bess*O24*in_opex_mult</f>
        <v>0</v>
      </c>
      <c r="P31" s="20" t="n">
        <f aca="false">in_bess_om_pct*x_capex_bess*P24*in_opex_mult</f>
        <v>0</v>
      </c>
      <c r="Q31" s="20" t="n">
        <f aca="false">in_bess_om_pct*x_capex_bess*Q24*in_opex_mult</f>
        <v>0</v>
      </c>
      <c r="R31" s="20" t="n">
        <f aca="false">in_bess_om_pct*x_capex_bess*R24*in_opex_mult</f>
        <v>0</v>
      </c>
      <c r="S31" s="20" t="n">
        <f aca="false">in_bess_om_pct*x_capex_bess*S24*in_opex_mult</f>
        <v>0</v>
      </c>
      <c r="T31" s="20" t="n">
        <f aca="false">in_bess_om_pct*x_capex_bess*T24*in_opex_mult</f>
        <v>0</v>
      </c>
      <c r="U31" s="20" t="n">
        <f aca="false">in_bess_om_pct*x_capex_bess*U24*in_opex_mult</f>
        <v>0</v>
      </c>
      <c r="V31" s="20" t="n">
        <f aca="false">in_bess_om_pct*x_capex_bess*V24*in_opex_mult</f>
        <v>0</v>
      </c>
      <c r="W31" s="20" t="n">
        <f aca="false">in_bess_om_pct*x_capex_bess*W24*in_opex_mult</f>
        <v>0</v>
      </c>
      <c r="X31" s="20" t="n">
        <f aca="false">in_bess_om_pct*x_capex_bess*X24*in_opex_mult</f>
        <v>0</v>
      </c>
      <c r="Y31" s="20" t="n">
        <f aca="false">in_bess_om_pct*x_capex_bess*Y24*in_opex_mult</f>
        <v>0</v>
      </c>
      <c r="Z31" s="20" t="n">
        <f aca="false">in_bess_om_pct*x_capex_bess*Z24*in_opex_mult</f>
        <v>0</v>
      </c>
      <c r="AA31" s="20" t="n">
        <f aca="false">in_bess_om_pct*x_capex_bess*AA24*in_opex_mult</f>
        <v>0</v>
      </c>
      <c r="AB31" s="20" t="n">
        <f aca="false">in_bess_om_pct*x_capex_bess*AB24*in_opex_mult</f>
        <v>0</v>
      </c>
      <c r="AC31" s="20" t="n">
        <f aca="false">in_bess_om_pct*x_capex_bess*AC24*in_opex_mult</f>
        <v>0</v>
      </c>
    </row>
    <row r="32" customFormat="false" ht="15" hidden="false" customHeight="false" outlineLevel="0" collapsed="false">
      <c r="A32" s="2" t="s">
        <v>345</v>
      </c>
      <c r="B32" s="2" t="s">
        <v>74</v>
      </c>
      <c r="E32" s="20" t="n">
        <f aca="false">in_wheeling*E14*1000*E24*in_opex_mult</f>
        <v>483869.890919512</v>
      </c>
      <c r="F32" s="20" t="n">
        <f aca="false">in_wheeling*F14*1000*F24*in_opex_mult</f>
        <v>493962.732583641</v>
      </c>
      <c r="G32" s="20" t="n">
        <f aca="false">in_wheeling*G14*1000*G24*in_opex_mult</f>
        <v>504257.797649152</v>
      </c>
      <c r="H32" s="20" t="n">
        <f aca="false">in_wheeling*H14*1000*H24*in_opex_mult</f>
        <v>514758.889260073</v>
      </c>
      <c r="I32" s="20" t="n">
        <f aca="false">in_wheeling*I14*1000*I24*in_opex_mult</f>
        <v>525469.87432801</v>
      </c>
      <c r="J32" s="20" t="n">
        <f aca="false">in_wheeling*J14*1000*J24*in_opex_mult</f>
        <v>536394.684343557</v>
      </c>
      <c r="K32" s="20" t="n">
        <f aca="false">in_wheeling*K14*1000*K24*in_opex_mult</f>
        <v>547537.316188425</v>
      </c>
      <c r="L32" s="20" t="n">
        <f aca="false">in_wheeling*L14*1000*L24*in_opex_mult</f>
        <v>558901.832947823</v>
      </c>
      <c r="M32" s="20" t="n">
        <f aca="false">in_wheeling*M14*1000*M24*in_opex_mult</f>
        <v>570492.364722572</v>
      </c>
      <c r="N32" s="20" t="n">
        <f aca="false">in_wheeling*N14*1000*N24*in_opex_mult</f>
        <v>582313.109440467</v>
      </c>
      <c r="O32" s="20" t="n">
        <f aca="false">in_wheeling*O14*1000*O24*in_opex_mult</f>
        <v>594368.333666305</v>
      </c>
      <c r="P32" s="20" t="n">
        <f aca="false">in_wheeling*P14*1000*P24*in_opex_mult</f>
        <v>606662.373410034</v>
      </c>
      <c r="Q32" s="20" t="n">
        <f aca="false">in_wheeling*Q14*1000*Q24*in_opex_mult</f>
        <v>619199.634932408</v>
      </c>
      <c r="R32" s="20" t="n">
        <f aca="false">in_wheeling*R14*1000*R24*in_opex_mult</f>
        <v>631984.59554752</v>
      </c>
      <c r="S32" s="20" t="n">
        <f aca="false">in_wheeling*S14*1000*S24*in_opex_mult</f>
        <v>645021.804421555</v>
      </c>
      <c r="T32" s="20" t="n">
        <f aca="false">in_wheeling*T14*1000*T24*in_opex_mult</f>
        <v>658315.883367074</v>
      </c>
      <c r="U32" s="20" t="n">
        <f aca="false">in_wheeling*U14*1000*U24*in_opex_mult</f>
        <v>671871.527632106</v>
      </c>
      <c r="V32" s="20" t="n">
        <f aca="false">in_wheeling*V14*1000*V24*in_opex_mult</f>
        <v>685693.506683284</v>
      </c>
      <c r="W32" s="20" t="n">
        <f aca="false">in_wheeling*W14*1000*W24*in_opex_mult</f>
        <v>699786.664982252</v>
      </c>
      <c r="X32" s="20" t="n">
        <f aca="false">in_wheeling*X14*1000*X24*in_opex_mult</f>
        <v>714155.922754491</v>
      </c>
      <c r="Y32" s="20" t="n">
        <f aca="false">in_wheeling*Y14*1000*Y24*in_opex_mult</f>
        <v>728806.276749728</v>
      </c>
      <c r="Z32" s="20" t="n">
        <f aca="false">in_wheeling*Z14*1000*Z24*in_opex_mult</f>
        <v>743742.800993005</v>
      </c>
      <c r="AA32" s="20" t="n">
        <f aca="false">in_wheeling*AA14*1000*AA24*in_opex_mult</f>
        <v>758970.647525478</v>
      </c>
      <c r="AB32" s="20" t="n">
        <f aca="false">in_wheeling*AB14*1000*AB24*in_opex_mult</f>
        <v>774495.047133954</v>
      </c>
      <c r="AC32" s="20" t="n">
        <f aca="false">in_wheeling*AC14*1000*AC24*in_opex_mult</f>
        <v>790321.31006815</v>
      </c>
    </row>
    <row r="33" customFormat="false" ht="15" hidden="false" customHeight="false" outlineLevel="0" collapsed="false">
      <c r="A33" s="3" t="s">
        <v>346</v>
      </c>
      <c r="B33" s="2" t="s">
        <v>74</v>
      </c>
      <c r="E33" s="21" t="n">
        <f aca="false">SUM(E25:E32)</f>
        <v>1975496.4368556</v>
      </c>
      <c r="F33" s="21" t="n">
        <f aca="false">SUM(F25:F32)</f>
        <v>2022879.94216813</v>
      </c>
      <c r="G33" s="21" t="n">
        <f aca="false">SUM(G25:G32)</f>
        <v>2071397.93747326</v>
      </c>
      <c r="H33" s="21" t="n">
        <f aca="false">SUM(H25:H32)</f>
        <v>2121077.53257978</v>
      </c>
      <c r="I33" s="21" t="n">
        <f aca="false">SUM(I25:I32)</f>
        <v>2171946.48373071</v>
      </c>
      <c r="J33" s="21" t="n">
        <f aca="false">SUM(J25:J32)</f>
        <v>2224033.20898132</v>
      </c>
      <c r="K33" s="21" t="n">
        <f aca="false">SUM(K25:K32)</f>
        <v>2277366.80394214</v>
      </c>
      <c r="L33" s="21" t="n">
        <f aca="false">SUM(L25:L32)</f>
        <v>2331977.05789538</v>
      </c>
      <c r="M33" s="21" t="n">
        <f aca="false">SUM(M25:M32)</f>
        <v>2387894.47029382</v>
      </c>
      <c r="N33" s="21" t="n">
        <f aca="false">SUM(N25:N32)</f>
        <v>2445150.26765099</v>
      </c>
      <c r="O33" s="21" t="n">
        <f aca="false">SUM(O25:O32)</f>
        <v>2503776.42083209</v>
      </c>
      <c r="P33" s="21" t="n">
        <f aca="false">SUM(P25:P32)</f>
        <v>2563805.66275497</v>
      </c>
      <c r="Q33" s="21" t="n">
        <f aca="false">SUM(Q25:Q32)</f>
        <v>2625271.50651096</v>
      </c>
      <c r="R33" s="21" t="n">
        <f aca="false">SUM(R25:R32)</f>
        <v>2688208.26391554</v>
      </c>
      <c r="S33" s="21" t="n">
        <f aca="false">SUM(S25:S32)</f>
        <v>2752651.06449877</v>
      </c>
      <c r="T33" s="21" t="n">
        <f aca="false">SUM(T25:T32)</f>
        <v>2818635.87494622</v>
      </c>
      <c r="U33" s="21" t="n">
        <f aca="false">SUM(U25:U32)</f>
        <v>2886199.51900073</v>
      </c>
      <c r="V33" s="21" t="n">
        <f aca="false">SUM(V25:V32)</f>
        <v>2955379.69783613</v>
      </c>
      <c r="W33" s="21" t="n">
        <f aca="false">SUM(W25:W32)</f>
        <v>3026215.01091392</v>
      </c>
      <c r="X33" s="21" t="n">
        <f aca="false">SUM(X25:X32)</f>
        <v>3098744.97733445</v>
      </c>
      <c r="Y33" s="21" t="n">
        <f aca="false">SUM(Y25:Y32)</f>
        <v>3173010.05769418</v>
      </c>
      <c r="Z33" s="21" t="n">
        <f aca="false">SUM(Z25:Z32)</f>
        <v>3249051.67646107</v>
      </c>
      <c r="AA33" s="21" t="n">
        <f aca="false">SUM(AA25:AA32)</f>
        <v>3326912.24488024</v>
      </c>
      <c r="AB33" s="21" t="n">
        <f aca="false">SUM(AB25:AB32)</f>
        <v>3406635.18442259</v>
      </c>
      <c r="AC33" s="21" t="n">
        <f aca="false">SUM(AC25:AC32)</f>
        <v>3488264.950789</v>
      </c>
    </row>
    <row r="34" customFormat="false" ht="15" hidden="false" customHeight="false" outlineLevel="0" collapsed="false">
      <c r="A34" s="3" t="s">
        <v>347</v>
      </c>
      <c r="B34" s="2" t="s">
        <v>74</v>
      </c>
      <c r="E34" s="21" t="n">
        <f aca="false">E21-E33</f>
        <v>7129967.17046777</v>
      </c>
      <c r="F34" s="21" t="n">
        <f aca="false">F21-F33</f>
        <v>7136480.6517602</v>
      </c>
      <c r="G34" s="21" t="n">
        <f aca="false">G21-G33</f>
        <v>7142027.03643141</v>
      </c>
      <c r="H34" s="21" t="n">
        <f aca="false">H21-H33</f>
        <v>7146577.17284135</v>
      </c>
      <c r="I34" s="21" t="n">
        <f aca="false">I21-I33</f>
        <v>7150101.20533982</v>
      </c>
      <c r="J34" s="21" t="n">
        <f aca="false">J21-J33</f>
        <v>7152568.55794106</v>
      </c>
      <c r="K34" s="21" t="n">
        <f aca="false">K21-K33</f>
        <v>7153947.91762023</v>
      </c>
      <c r="L34" s="21" t="n">
        <f aca="false">L21-L33</f>
        <v>7154207.21722307</v>
      </c>
      <c r="M34" s="21" t="n">
        <f aca="false">M21-M33</f>
        <v>7153313.61797969</v>
      </c>
      <c r="N34" s="21" t="n">
        <f aca="false">N21-N33</f>
        <v>7151233.49161316</v>
      </c>
      <c r="O34" s="21" t="n">
        <f aca="false">O21-O33</f>
        <v>7147932.40203368</v>
      </c>
      <c r="P34" s="21" t="n">
        <f aca="false">P21-P33</f>
        <v>7143375.08660855</v>
      </c>
      <c r="Q34" s="21" t="n">
        <f aca="false">Q21-Q33</f>
        <v>7137525.43699795</v>
      </c>
      <c r="R34" s="21" t="n">
        <f aca="false">R21-R33</f>
        <v>7130346.47954675</v>
      </c>
      <c r="S34" s="21" t="n">
        <f aca="false">S21-S33</f>
        <v>7121800.3552216</v>
      </c>
      <c r="T34" s="21" t="n">
        <f aca="false">T21-T33</f>
        <v>7111848.29908306</v>
      </c>
      <c r="U34" s="21" t="n">
        <f aca="false">U21-U33</f>
        <v>7100450.61928166</v>
      </c>
      <c r="V34" s="21" t="n">
        <f aca="false">V21-V33</f>
        <v>7087566.67556704</v>
      </c>
      <c r="W34" s="21" t="n">
        <f aca="false">W21-W33</f>
        <v>7073154.85729861</v>
      </c>
      <c r="X34" s="21" t="n">
        <f aca="false">X21-X33</f>
        <v>7057172.56094628</v>
      </c>
      <c r="Y34" s="21" t="n">
        <f aca="false">Y21-Y33</f>
        <v>7039576.1670693</v>
      </c>
      <c r="Z34" s="21" t="n">
        <f aca="false">Z21-Z33</f>
        <v>7020321.01676098</v>
      </c>
      <c r="AA34" s="21" t="n">
        <f aca="false">AA21-AA33</f>
        <v>6999361.38754708</v>
      </c>
      <c r="AB34" s="21" t="n">
        <f aca="false">AB21-AB33</f>
        <v>6976650.46872479</v>
      </c>
      <c r="AC34" s="21" t="n">
        <f aca="false">AC21-AC33</f>
        <v>6952140.33612959</v>
      </c>
    </row>
    <row r="35" customFormat="false" ht="15" hidden="false" customHeight="false" outlineLevel="0" collapsed="false">
      <c r="A35" s="2" t="s">
        <v>348</v>
      </c>
      <c r="B35" s="2" t="s">
        <v>74</v>
      </c>
      <c r="E35" s="20" t="n">
        <f aca="false">IF(1=in_inverter_repl_yr,in_inverter_repl_cost*in_mwp*1000000,0)+IF(1=in_bess_aug_yr,in_bess_on*in_bess_aug_cost,0)</f>
        <v>0</v>
      </c>
      <c r="F35" s="20" t="n">
        <f aca="false">IF(2=in_inverter_repl_yr,in_inverter_repl_cost*in_mwp*1000000,0)+IF(2=in_bess_aug_yr,in_bess_on*in_bess_aug_cost,0)</f>
        <v>0</v>
      </c>
      <c r="G35" s="20" t="n">
        <f aca="false">IF(3=in_inverter_repl_yr,in_inverter_repl_cost*in_mwp*1000000,0)+IF(3=in_bess_aug_yr,in_bess_on*in_bess_aug_cost,0)</f>
        <v>0</v>
      </c>
      <c r="H35" s="20" t="n">
        <f aca="false">IF(4=in_inverter_repl_yr,in_inverter_repl_cost*in_mwp*1000000,0)+IF(4=in_bess_aug_yr,in_bess_on*in_bess_aug_cost,0)</f>
        <v>0</v>
      </c>
      <c r="I35" s="20" t="n">
        <f aca="false">IF(5=in_inverter_repl_yr,in_inverter_repl_cost*in_mwp*1000000,0)+IF(5=in_bess_aug_yr,in_bess_on*in_bess_aug_cost,0)</f>
        <v>0</v>
      </c>
      <c r="J35" s="20" t="n">
        <f aca="false">IF(6=in_inverter_repl_yr,in_inverter_repl_cost*in_mwp*1000000,0)+IF(6=in_bess_aug_yr,in_bess_on*in_bess_aug_cost,0)</f>
        <v>0</v>
      </c>
      <c r="K35" s="20" t="n">
        <f aca="false">IF(7=in_inverter_repl_yr,in_inverter_repl_cost*in_mwp*1000000,0)+IF(7=in_bess_aug_yr,in_bess_on*in_bess_aug_cost,0)</f>
        <v>0</v>
      </c>
      <c r="L35" s="20" t="n">
        <f aca="false">IF(8=in_inverter_repl_yr,in_inverter_repl_cost*in_mwp*1000000,0)+IF(8=in_bess_aug_yr,in_bess_on*in_bess_aug_cost,0)</f>
        <v>0</v>
      </c>
      <c r="M35" s="20" t="n">
        <f aca="false">IF(9=in_inverter_repl_yr,in_inverter_repl_cost*in_mwp*1000000,0)+IF(9=in_bess_aug_yr,in_bess_on*in_bess_aug_cost,0)</f>
        <v>0</v>
      </c>
      <c r="N35" s="20" t="n">
        <f aca="false">IF(10=in_inverter_repl_yr,in_inverter_repl_cost*in_mwp*1000000,0)+IF(10=in_bess_aug_yr,in_bess_on*in_bess_aug_cost,0)</f>
        <v>0</v>
      </c>
      <c r="O35" s="20" t="n">
        <f aca="false">IF(11=in_inverter_repl_yr,in_inverter_repl_cost*in_mwp*1000000,0)+IF(11=in_bess_aug_yr,in_bess_on*in_bess_aug_cost,0)</f>
        <v>0</v>
      </c>
      <c r="P35" s="20" t="n">
        <f aca="false">IF(12=in_inverter_repl_yr,in_inverter_repl_cost*in_mwp*1000000,0)+IF(12=in_bess_aug_yr,in_bess_on*in_bess_aug_cost,0)</f>
        <v>0</v>
      </c>
      <c r="Q35" s="20" t="n">
        <f aca="false">IF(13=in_inverter_repl_yr,in_inverter_repl_cost*in_mwp*1000000,0)+IF(13=in_bess_aug_yr,in_bess_on*in_bess_aug_cost,0)</f>
        <v>1500000</v>
      </c>
      <c r="R35" s="20" t="n">
        <f aca="false">IF(14=in_inverter_repl_yr,in_inverter_repl_cost*in_mwp*1000000,0)+IF(14=in_bess_aug_yr,in_bess_on*in_bess_aug_cost,0)</f>
        <v>0</v>
      </c>
      <c r="S35" s="20" t="n">
        <f aca="false">IF(15=in_inverter_repl_yr,in_inverter_repl_cost*in_mwp*1000000,0)+IF(15=in_bess_aug_yr,in_bess_on*in_bess_aug_cost,0)</f>
        <v>0</v>
      </c>
      <c r="T35" s="20" t="n">
        <f aca="false">IF(16=in_inverter_repl_yr,in_inverter_repl_cost*in_mwp*1000000,0)+IF(16=in_bess_aug_yr,in_bess_on*in_bess_aug_cost,0)</f>
        <v>0</v>
      </c>
      <c r="U35" s="20" t="n">
        <f aca="false">IF(17=in_inverter_repl_yr,in_inverter_repl_cost*in_mwp*1000000,0)+IF(17=in_bess_aug_yr,in_bess_on*in_bess_aug_cost,0)</f>
        <v>0</v>
      </c>
      <c r="V35" s="20" t="n">
        <f aca="false">IF(18=in_inverter_repl_yr,in_inverter_repl_cost*in_mwp*1000000,0)+IF(18=in_bess_aug_yr,in_bess_on*in_bess_aug_cost,0)</f>
        <v>0</v>
      </c>
      <c r="W35" s="20" t="n">
        <f aca="false">IF(19=in_inverter_repl_yr,in_inverter_repl_cost*in_mwp*1000000,0)+IF(19=in_bess_aug_yr,in_bess_on*in_bess_aug_cost,0)</f>
        <v>0</v>
      </c>
      <c r="X35" s="20" t="n">
        <f aca="false">IF(20=in_inverter_repl_yr,in_inverter_repl_cost*in_mwp*1000000,0)+IF(20=in_bess_aug_yr,in_bess_on*in_bess_aug_cost,0)</f>
        <v>0</v>
      </c>
      <c r="Y35" s="20" t="n">
        <f aca="false">IF(21=in_inverter_repl_yr,in_inverter_repl_cost*in_mwp*1000000,0)+IF(21=in_bess_aug_yr,in_bess_on*in_bess_aug_cost,0)</f>
        <v>0</v>
      </c>
      <c r="Z35" s="20" t="n">
        <f aca="false">IF(22=in_inverter_repl_yr,in_inverter_repl_cost*in_mwp*1000000,0)+IF(22=in_bess_aug_yr,in_bess_on*in_bess_aug_cost,0)</f>
        <v>0</v>
      </c>
      <c r="AA35" s="20" t="n">
        <f aca="false">IF(23=in_inverter_repl_yr,in_inverter_repl_cost*in_mwp*1000000,0)+IF(23=in_bess_aug_yr,in_bess_on*in_bess_aug_cost,0)</f>
        <v>0</v>
      </c>
      <c r="AB35" s="20" t="n">
        <f aca="false">IF(24=in_inverter_repl_yr,in_inverter_repl_cost*in_mwp*1000000,0)+IF(24=in_bess_aug_yr,in_bess_on*in_bess_aug_cost,0)</f>
        <v>0</v>
      </c>
      <c r="AC35" s="20" t="n">
        <f aca="false">IF(25=in_inverter_repl_yr,in_inverter_repl_cost*in_mwp*1000000,0)+IF(25=in_bess_aug_yr,in_bess_on*in_bess_aug_cost,0)</f>
        <v>0</v>
      </c>
    </row>
    <row r="37" customFormat="false" ht="15" hidden="false" customHeight="false" outlineLevel="0" collapsed="false">
      <c r="A37" s="17" t="s">
        <v>349</v>
      </c>
    </row>
    <row r="38" customFormat="false" ht="15" hidden="false" customHeight="false" outlineLevel="0" collapsed="false">
      <c r="A38" s="2" t="s">
        <v>350</v>
      </c>
      <c r="B38" s="2" t="s">
        <v>74</v>
      </c>
      <c r="E38" s="20" t="n">
        <f aca="false">x_debt</f>
        <v>20170111.2420113</v>
      </c>
      <c r="F38" s="20" t="n">
        <f aca="false">E42</f>
        <v>19204546.5529023</v>
      </c>
      <c r="G38" s="20" t="n">
        <f aca="false">F42</f>
        <v>18146191.0971699</v>
      </c>
      <c r="H38" s="20" t="n">
        <f aca="false">G42</f>
        <v>16986127.6821416</v>
      </c>
      <c r="I38" s="20" t="n">
        <f aca="false">H42</f>
        <v>15714582.1729291</v>
      </c>
      <c r="J38" s="20" t="n">
        <f aca="false">I42</f>
        <v>14320841.1402812</v>
      </c>
      <c r="K38" s="20" t="n">
        <f aca="false">J42</f>
        <v>12793161.5943959</v>
      </c>
      <c r="L38" s="20" t="n">
        <f aca="false">K42</f>
        <v>11118672.0441511</v>
      </c>
      <c r="M38" s="20" t="n">
        <f aca="false">L42</f>
        <v>9283264.04812768</v>
      </c>
      <c r="N38" s="20" t="n">
        <f aca="false">M42</f>
        <v>7271473.34368643</v>
      </c>
      <c r="O38" s="20" t="n">
        <f aca="false">N42</f>
        <v>5066349.55254837</v>
      </c>
      <c r="P38" s="20" t="n">
        <f aca="false">O42</f>
        <v>2649313.36508195</v>
      </c>
      <c r="Q38" s="20" t="n">
        <f aca="false">P42</f>
        <v>0</v>
      </c>
      <c r="R38" s="20" t="n">
        <f aca="false">Q42</f>
        <v>0</v>
      </c>
      <c r="S38" s="20" t="n">
        <f aca="false">R42</f>
        <v>0</v>
      </c>
      <c r="T38" s="20" t="n">
        <f aca="false">S42</f>
        <v>0</v>
      </c>
      <c r="U38" s="20" t="n">
        <f aca="false">T42</f>
        <v>0</v>
      </c>
      <c r="V38" s="20" t="n">
        <f aca="false">U42</f>
        <v>0</v>
      </c>
      <c r="W38" s="20" t="n">
        <f aca="false">V42</f>
        <v>0</v>
      </c>
      <c r="X38" s="20" t="n">
        <f aca="false">W42</f>
        <v>0</v>
      </c>
      <c r="Y38" s="20" t="n">
        <f aca="false">X42</f>
        <v>0</v>
      </c>
      <c r="Z38" s="20" t="n">
        <f aca="false">Y42</f>
        <v>0</v>
      </c>
      <c r="AA38" s="20" t="n">
        <f aca="false">Z42</f>
        <v>0</v>
      </c>
      <c r="AB38" s="20" t="n">
        <f aca="false">AA42</f>
        <v>0</v>
      </c>
      <c r="AC38" s="20" t="n">
        <f aca="false">AB42</f>
        <v>0</v>
      </c>
    </row>
    <row r="39" customFormat="false" ht="15" hidden="false" customHeight="false" outlineLevel="0" collapsed="false">
      <c r="A39" s="2" t="s">
        <v>351</v>
      </c>
      <c r="B39" s="2" t="s">
        <v>74</v>
      </c>
      <c r="E39" s="20" t="n">
        <f aca="false">IF(1&lt;=in_tenor,E38*x_kd,0)</f>
        <v>1938347.69035729</v>
      </c>
      <c r="F39" s="20" t="n">
        <f aca="false">IF(2&lt;=in_tenor,F38*x_kd,0)</f>
        <v>1845556.92373391</v>
      </c>
      <c r="G39" s="20" t="n">
        <f aca="false">IF(3&lt;=in_tenor,G38*x_kd,0)</f>
        <v>1743848.96443803</v>
      </c>
      <c r="H39" s="20" t="n">
        <f aca="false">IF(4&lt;=in_tenor,H38*x_kd,0)</f>
        <v>1632366.87025381</v>
      </c>
      <c r="I39" s="20" t="n">
        <f aca="false">IF(5&lt;=in_tenor,I38*x_kd,0)</f>
        <v>1510171.34681848</v>
      </c>
      <c r="J39" s="20" t="n">
        <f aca="false">IF(6&lt;=in_tenor,J38*x_kd,0)</f>
        <v>1376232.83358103</v>
      </c>
      <c r="K39" s="20" t="n">
        <f aca="false">IF(7&lt;=in_tenor,K38*x_kd,0)</f>
        <v>1229422.82922145</v>
      </c>
      <c r="L39" s="20" t="n">
        <f aca="false">IF(8&lt;=in_tenor,L38*x_kd,0)</f>
        <v>1068504.38344292</v>
      </c>
      <c r="M39" s="20" t="n">
        <f aca="false">IF(9&lt;=in_tenor,M38*x_kd,0)</f>
        <v>892121.67502507</v>
      </c>
      <c r="N39" s="20" t="n">
        <f aca="false">IF(10&lt;=in_tenor,N38*x_kd,0)</f>
        <v>698788.588328266</v>
      </c>
      <c r="O39" s="20" t="n">
        <f aca="false">IF(11&lt;=in_tenor,O38*x_kd,0)</f>
        <v>486876.191999899</v>
      </c>
      <c r="P39" s="20" t="n">
        <f aca="false">IF(12&lt;=in_tenor,P38*x_kd,0)</f>
        <v>254599.014384375</v>
      </c>
      <c r="Q39" s="20" t="n">
        <f aca="false">IF(13&lt;=in_tenor,Q38*x_kd,0)</f>
        <v>0</v>
      </c>
      <c r="R39" s="20" t="n">
        <f aca="false">IF(14&lt;=in_tenor,R38*x_kd,0)</f>
        <v>0</v>
      </c>
      <c r="S39" s="20" t="n">
        <f aca="false">IF(15&lt;=in_tenor,S38*x_kd,0)</f>
        <v>0</v>
      </c>
      <c r="T39" s="20" t="n">
        <f aca="false">IF(16&lt;=in_tenor,T38*x_kd,0)</f>
        <v>0</v>
      </c>
      <c r="U39" s="20" t="n">
        <f aca="false">IF(17&lt;=in_tenor,U38*x_kd,0)</f>
        <v>0</v>
      </c>
      <c r="V39" s="20" t="n">
        <f aca="false">IF(18&lt;=in_tenor,V38*x_kd,0)</f>
        <v>0</v>
      </c>
      <c r="W39" s="20" t="n">
        <f aca="false">IF(19&lt;=in_tenor,W38*x_kd,0)</f>
        <v>0</v>
      </c>
      <c r="X39" s="20" t="n">
        <f aca="false">IF(20&lt;=in_tenor,X38*x_kd,0)</f>
        <v>0</v>
      </c>
      <c r="Y39" s="20" t="n">
        <f aca="false">IF(21&lt;=in_tenor,Y38*x_kd,0)</f>
        <v>0</v>
      </c>
      <c r="Z39" s="20" t="n">
        <f aca="false">IF(22&lt;=in_tenor,Z38*x_kd,0)</f>
        <v>0</v>
      </c>
      <c r="AA39" s="20" t="n">
        <f aca="false">IF(23&lt;=in_tenor,AA38*x_kd,0)</f>
        <v>0</v>
      </c>
      <c r="AB39" s="20" t="n">
        <f aca="false">IF(24&lt;=in_tenor,AB38*x_kd,0)</f>
        <v>0</v>
      </c>
      <c r="AC39" s="20" t="n">
        <f aca="false">IF(25&lt;=in_tenor,AC38*x_kd,0)</f>
        <v>0</v>
      </c>
    </row>
    <row r="40" customFormat="false" ht="15" hidden="false" customHeight="false" outlineLevel="0" collapsed="false">
      <c r="A40" s="3" t="s">
        <v>352</v>
      </c>
      <c r="B40" s="2" t="s">
        <v>74</v>
      </c>
      <c r="E40" s="21" t="n">
        <f aca="false">IF(1&lt;=in_tenor,x_pmt,0)</f>
        <v>2903912.37946632</v>
      </c>
      <c r="F40" s="21" t="n">
        <f aca="false">IF(2&lt;=in_tenor,x_pmt,0)</f>
        <v>2903912.37946632</v>
      </c>
      <c r="G40" s="21" t="n">
        <f aca="false">IF(3&lt;=in_tenor,x_pmt,0)</f>
        <v>2903912.37946632</v>
      </c>
      <c r="H40" s="21" t="n">
        <f aca="false">IF(4&lt;=in_tenor,x_pmt,0)</f>
        <v>2903912.37946632</v>
      </c>
      <c r="I40" s="21" t="n">
        <f aca="false">IF(5&lt;=in_tenor,x_pmt,0)</f>
        <v>2903912.37946632</v>
      </c>
      <c r="J40" s="21" t="n">
        <f aca="false">IF(6&lt;=in_tenor,x_pmt,0)</f>
        <v>2903912.37946632</v>
      </c>
      <c r="K40" s="21" t="n">
        <f aca="false">IF(7&lt;=in_tenor,x_pmt,0)</f>
        <v>2903912.37946632</v>
      </c>
      <c r="L40" s="21" t="n">
        <f aca="false">IF(8&lt;=in_tenor,x_pmt,0)</f>
        <v>2903912.37946632</v>
      </c>
      <c r="M40" s="21" t="n">
        <f aca="false">IF(9&lt;=in_tenor,x_pmt,0)</f>
        <v>2903912.37946632</v>
      </c>
      <c r="N40" s="21" t="n">
        <f aca="false">IF(10&lt;=in_tenor,x_pmt,0)</f>
        <v>2903912.37946632</v>
      </c>
      <c r="O40" s="21" t="n">
        <f aca="false">IF(11&lt;=in_tenor,x_pmt,0)</f>
        <v>2903912.37946632</v>
      </c>
      <c r="P40" s="21" t="n">
        <f aca="false">IF(12&lt;=in_tenor,x_pmt,0)</f>
        <v>2903912.37946632</v>
      </c>
      <c r="Q40" s="21" t="n">
        <f aca="false">IF(13&lt;=in_tenor,x_pmt,0)</f>
        <v>0</v>
      </c>
      <c r="R40" s="21" t="n">
        <f aca="false">IF(14&lt;=in_tenor,x_pmt,0)</f>
        <v>0</v>
      </c>
      <c r="S40" s="21" t="n">
        <f aca="false">IF(15&lt;=in_tenor,x_pmt,0)</f>
        <v>0</v>
      </c>
      <c r="T40" s="21" t="n">
        <f aca="false">IF(16&lt;=in_tenor,x_pmt,0)</f>
        <v>0</v>
      </c>
      <c r="U40" s="21" t="n">
        <f aca="false">IF(17&lt;=in_tenor,x_pmt,0)</f>
        <v>0</v>
      </c>
      <c r="V40" s="21" t="n">
        <f aca="false">IF(18&lt;=in_tenor,x_pmt,0)</f>
        <v>0</v>
      </c>
      <c r="W40" s="21" t="n">
        <f aca="false">IF(19&lt;=in_tenor,x_pmt,0)</f>
        <v>0</v>
      </c>
      <c r="X40" s="21" t="n">
        <f aca="false">IF(20&lt;=in_tenor,x_pmt,0)</f>
        <v>0</v>
      </c>
      <c r="Y40" s="21" t="n">
        <f aca="false">IF(21&lt;=in_tenor,x_pmt,0)</f>
        <v>0</v>
      </c>
      <c r="Z40" s="21" t="n">
        <f aca="false">IF(22&lt;=in_tenor,x_pmt,0)</f>
        <v>0</v>
      </c>
      <c r="AA40" s="21" t="n">
        <f aca="false">IF(23&lt;=in_tenor,x_pmt,0)</f>
        <v>0</v>
      </c>
      <c r="AB40" s="21" t="n">
        <f aca="false">IF(24&lt;=in_tenor,x_pmt,0)</f>
        <v>0</v>
      </c>
      <c r="AC40" s="21" t="n">
        <f aca="false">IF(25&lt;=in_tenor,x_pmt,0)</f>
        <v>0</v>
      </c>
    </row>
    <row r="41" customFormat="false" ht="15" hidden="false" customHeight="false" outlineLevel="0" collapsed="false">
      <c r="A41" s="2" t="s">
        <v>353</v>
      </c>
      <c r="B41" s="2" t="s">
        <v>74</v>
      </c>
      <c r="E41" s="20" t="n">
        <f aca="false">E40-E39</f>
        <v>965564.689109032</v>
      </c>
      <c r="F41" s="20" t="n">
        <f aca="false">F40-F39</f>
        <v>1058355.45573241</v>
      </c>
      <c r="G41" s="20" t="n">
        <f aca="false">G40-G39</f>
        <v>1160063.41502829</v>
      </c>
      <c r="H41" s="20" t="n">
        <f aca="false">H40-H39</f>
        <v>1271545.50921251</v>
      </c>
      <c r="I41" s="20" t="n">
        <f aca="false">I40-I39</f>
        <v>1393741.03264784</v>
      </c>
      <c r="J41" s="20" t="n">
        <f aca="false">J40-J39</f>
        <v>1527679.54588529</v>
      </c>
      <c r="K41" s="20" t="n">
        <f aca="false">K40-K39</f>
        <v>1674489.55024487</v>
      </c>
      <c r="L41" s="20" t="n">
        <f aca="false">L40-L39</f>
        <v>1835407.9960234</v>
      </c>
      <c r="M41" s="20" t="n">
        <f aca="false">M40-M39</f>
        <v>2011790.70444125</v>
      </c>
      <c r="N41" s="20" t="n">
        <f aca="false">N40-N39</f>
        <v>2205123.79113805</v>
      </c>
      <c r="O41" s="20" t="n">
        <f aca="false">O40-O39</f>
        <v>2417036.18746642</v>
      </c>
      <c r="P41" s="20" t="n">
        <f aca="false">P40-P39</f>
        <v>2649313.36508194</v>
      </c>
      <c r="Q41" s="20" t="n">
        <f aca="false">Q40-Q39</f>
        <v>0</v>
      </c>
      <c r="R41" s="20" t="n">
        <f aca="false">R40-R39</f>
        <v>0</v>
      </c>
      <c r="S41" s="20" t="n">
        <f aca="false">S40-S39</f>
        <v>0</v>
      </c>
      <c r="T41" s="20" t="n">
        <f aca="false">T40-T39</f>
        <v>0</v>
      </c>
      <c r="U41" s="20" t="n">
        <f aca="false">U40-U39</f>
        <v>0</v>
      </c>
      <c r="V41" s="20" t="n">
        <f aca="false">V40-V39</f>
        <v>0</v>
      </c>
      <c r="W41" s="20" t="n">
        <f aca="false">W40-W39</f>
        <v>0</v>
      </c>
      <c r="X41" s="20" t="n">
        <f aca="false">X40-X39</f>
        <v>0</v>
      </c>
      <c r="Y41" s="20" t="n">
        <f aca="false">Y40-Y39</f>
        <v>0</v>
      </c>
      <c r="Z41" s="20" t="n">
        <f aca="false">Z40-Z39</f>
        <v>0</v>
      </c>
      <c r="AA41" s="20" t="n">
        <f aca="false">AA40-AA39</f>
        <v>0</v>
      </c>
      <c r="AB41" s="20" t="n">
        <f aca="false">AB40-AB39</f>
        <v>0</v>
      </c>
      <c r="AC41" s="20" t="n">
        <f aca="false">AC40-AC39</f>
        <v>0</v>
      </c>
    </row>
    <row r="42" customFormat="false" ht="15" hidden="false" customHeight="false" outlineLevel="0" collapsed="false">
      <c r="A42" s="2" t="s">
        <v>354</v>
      </c>
      <c r="B42" s="2" t="s">
        <v>74</v>
      </c>
      <c r="E42" s="20" t="n">
        <f aca="false">E38-E41</f>
        <v>19204546.5529023</v>
      </c>
      <c r="F42" s="20" t="n">
        <f aca="false">F38-F41</f>
        <v>18146191.0971699</v>
      </c>
      <c r="G42" s="20" t="n">
        <f aca="false">G38-G41</f>
        <v>16986127.6821416</v>
      </c>
      <c r="H42" s="20" t="n">
        <f aca="false">H38-H41</f>
        <v>15714582.1729291</v>
      </c>
      <c r="I42" s="20" t="n">
        <f aca="false">I38-I41</f>
        <v>14320841.1402812</v>
      </c>
      <c r="J42" s="20" t="n">
        <f aca="false">J38-J41</f>
        <v>12793161.5943959</v>
      </c>
      <c r="K42" s="20" t="n">
        <f aca="false">K38-K41</f>
        <v>11118672.0441511</v>
      </c>
      <c r="L42" s="20" t="n">
        <f aca="false">L38-L41</f>
        <v>9283264.04812768</v>
      </c>
      <c r="M42" s="20" t="n">
        <f aca="false">M38-M41</f>
        <v>7271473.34368643</v>
      </c>
      <c r="N42" s="20" t="n">
        <f aca="false">N38-N41</f>
        <v>5066349.55254837</v>
      </c>
      <c r="O42" s="20" t="n">
        <f aca="false">O38-O41</f>
        <v>2649313.36508195</v>
      </c>
      <c r="P42" s="20" t="n">
        <f aca="false">P38-P41</f>
        <v>0</v>
      </c>
      <c r="Q42" s="20" t="n">
        <f aca="false">Q38-Q41</f>
        <v>0</v>
      </c>
      <c r="R42" s="20" t="n">
        <f aca="false">R38-R41</f>
        <v>0</v>
      </c>
      <c r="S42" s="20" t="n">
        <f aca="false">S38-S41</f>
        <v>0</v>
      </c>
      <c r="T42" s="20" t="n">
        <f aca="false">T38-T41</f>
        <v>0</v>
      </c>
      <c r="U42" s="20" t="n">
        <f aca="false">U38-U41</f>
        <v>0</v>
      </c>
      <c r="V42" s="20" t="n">
        <f aca="false">V38-V41</f>
        <v>0</v>
      </c>
      <c r="W42" s="20" t="n">
        <f aca="false">W38-W41</f>
        <v>0</v>
      </c>
      <c r="X42" s="20" t="n">
        <f aca="false">X38-X41</f>
        <v>0</v>
      </c>
      <c r="Y42" s="20" t="n">
        <f aca="false">Y38-Y41</f>
        <v>0</v>
      </c>
      <c r="Z42" s="20" t="n">
        <f aca="false">Z38-Z41</f>
        <v>0</v>
      </c>
      <c r="AA42" s="20" t="n">
        <f aca="false">AA38-AA41</f>
        <v>0</v>
      </c>
      <c r="AB42" s="20" t="n">
        <f aca="false">AB38-AB41</f>
        <v>0</v>
      </c>
      <c r="AC42" s="20" t="n">
        <f aca="false">AC38-AC41</f>
        <v>0</v>
      </c>
    </row>
    <row r="44" customFormat="false" ht="15" hidden="false" customHeight="false" outlineLevel="0" collapsed="false">
      <c r="A44" s="17" t="s">
        <v>355</v>
      </c>
    </row>
    <row r="45" customFormat="false" ht="15" hidden="false" customHeight="false" outlineLevel="0" collapsed="false">
      <c r="A45" s="2" t="s">
        <v>356</v>
      </c>
      <c r="B45" s="2" t="s">
        <v>74</v>
      </c>
      <c r="E45" s="20" t="n">
        <f aca="false">IF(1&lt;=in_dep_years,x_funding/in_dep_years,0)</f>
        <v>1680842.60350094</v>
      </c>
      <c r="F45" s="20" t="n">
        <f aca="false">IF(2&lt;=in_dep_years,x_funding/in_dep_years,0)</f>
        <v>1680842.60350094</v>
      </c>
      <c r="G45" s="20" t="n">
        <f aca="false">IF(3&lt;=in_dep_years,x_funding/in_dep_years,0)</f>
        <v>1680842.60350094</v>
      </c>
      <c r="H45" s="20" t="n">
        <f aca="false">IF(4&lt;=in_dep_years,x_funding/in_dep_years,0)</f>
        <v>1680842.60350094</v>
      </c>
      <c r="I45" s="20" t="n">
        <f aca="false">IF(5&lt;=in_dep_years,x_funding/in_dep_years,0)</f>
        <v>1680842.60350094</v>
      </c>
      <c r="J45" s="20" t="n">
        <f aca="false">IF(6&lt;=in_dep_years,x_funding/in_dep_years,0)</f>
        <v>1680842.60350094</v>
      </c>
      <c r="K45" s="20" t="n">
        <f aca="false">IF(7&lt;=in_dep_years,x_funding/in_dep_years,0)</f>
        <v>1680842.60350094</v>
      </c>
      <c r="L45" s="20" t="n">
        <f aca="false">IF(8&lt;=in_dep_years,x_funding/in_dep_years,0)</f>
        <v>1680842.60350094</v>
      </c>
      <c r="M45" s="20" t="n">
        <f aca="false">IF(9&lt;=in_dep_years,x_funding/in_dep_years,0)</f>
        <v>1680842.60350094</v>
      </c>
      <c r="N45" s="20" t="n">
        <f aca="false">IF(10&lt;=in_dep_years,x_funding/in_dep_years,0)</f>
        <v>1680842.60350094</v>
      </c>
      <c r="O45" s="20" t="n">
        <f aca="false">IF(11&lt;=in_dep_years,x_funding/in_dep_years,0)</f>
        <v>1680842.60350094</v>
      </c>
      <c r="P45" s="20" t="n">
        <f aca="false">IF(12&lt;=in_dep_years,x_funding/in_dep_years,0)</f>
        <v>1680842.60350094</v>
      </c>
      <c r="Q45" s="20" t="n">
        <f aca="false">IF(13&lt;=in_dep_years,x_funding/in_dep_years,0)</f>
        <v>1680842.60350094</v>
      </c>
      <c r="R45" s="20" t="n">
        <f aca="false">IF(14&lt;=in_dep_years,x_funding/in_dep_years,0)</f>
        <v>1680842.60350094</v>
      </c>
      <c r="S45" s="20" t="n">
        <f aca="false">IF(15&lt;=in_dep_years,x_funding/in_dep_years,0)</f>
        <v>1680842.60350094</v>
      </c>
      <c r="T45" s="20" t="n">
        <f aca="false">IF(16&lt;=in_dep_years,x_funding/in_dep_years,0)</f>
        <v>1680842.60350094</v>
      </c>
      <c r="U45" s="20" t="n">
        <f aca="false">IF(17&lt;=in_dep_years,x_funding/in_dep_years,0)</f>
        <v>1680842.60350094</v>
      </c>
      <c r="V45" s="20" t="n">
        <f aca="false">IF(18&lt;=in_dep_years,x_funding/in_dep_years,0)</f>
        <v>1680842.60350094</v>
      </c>
      <c r="W45" s="20" t="n">
        <f aca="false">IF(19&lt;=in_dep_years,x_funding/in_dep_years,0)</f>
        <v>1680842.60350094</v>
      </c>
      <c r="X45" s="20" t="n">
        <f aca="false">IF(20&lt;=in_dep_years,x_funding/in_dep_years,0)</f>
        <v>1680842.60350094</v>
      </c>
      <c r="Y45" s="20" t="n">
        <f aca="false">IF(21&lt;=in_dep_years,x_funding/in_dep_years,0)</f>
        <v>0</v>
      </c>
      <c r="Z45" s="20" t="n">
        <f aca="false">IF(22&lt;=in_dep_years,x_funding/in_dep_years,0)</f>
        <v>0</v>
      </c>
      <c r="AA45" s="20" t="n">
        <f aca="false">IF(23&lt;=in_dep_years,x_funding/in_dep_years,0)</f>
        <v>0</v>
      </c>
      <c r="AB45" s="20" t="n">
        <f aca="false">IF(24&lt;=in_dep_years,x_funding/in_dep_years,0)</f>
        <v>0</v>
      </c>
      <c r="AC45" s="20" t="n">
        <f aca="false">IF(25&lt;=in_dep_years,x_funding/in_dep_years,0)</f>
        <v>0</v>
      </c>
    </row>
    <row r="46" customFormat="false" ht="15" hidden="false" customHeight="false" outlineLevel="0" collapsed="false">
      <c r="A46" s="2" t="s">
        <v>357</v>
      </c>
      <c r="B46" s="2" t="s">
        <v>74</v>
      </c>
      <c r="E46" s="20" t="n">
        <f aca="false">E34-E45-E39-E35</f>
        <v>3510776.87660954</v>
      </c>
      <c r="F46" s="20" t="n">
        <f aca="false">F34-F45-F39-F35</f>
        <v>3610081.12452535</v>
      </c>
      <c r="G46" s="20" t="n">
        <f aca="false">G34-G45-G39-G35</f>
        <v>3717335.46849244</v>
      </c>
      <c r="H46" s="20" t="n">
        <f aca="false">H34-H45-H39-H35</f>
        <v>3833367.6990866</v>
      </c>
      <c r="I46" s="20" t="n">
        <f aca="false">I34-I45-I39-I35</f>
        <v>3959087.25502039</v>
      </c>
      <c r="J46" s="20" t="n">
        <f aca="false">J34-J45-J39-J35</f>
        <v>4095493.12085909</v>
      </c>
      <c r="K46" s="20" t="n">
        <f aca="false">K34-K45-K39-K35</f>
        <v>4243682.48489784</v>
      </c>
      <c r="L46" s="20" t="n">
        <f aca="false">L34-L45-L39-L35</f>
        <v>4404860.23027921</v>
      </c>
      <c r="M46" s="20" t="n">
        <f aca="false">M34-M45-M39-M35</f>
        <v>4580349.33945368</v>
      </c>
      <c r="N46" s="20" t="n">
        <f aca="false">N34-N45-N39-N35</f>
        <v>4771602.29978395</v>
      </c>
      <c r="O46" s="20" t="n">
        <f aca="false">O34-O45-O39-O35</f>
        <v>4980213.60653284</v>
      </c>
      <c r="P46" s="20" t="n">
        <f aca="false">P34-P45-P39-P35</f>
        <v>5207933.46872323</v>
      </c>
      <c r="Q46" s="20" t="n">
        <f aca="false">Q34-Q45-Q39-Q35</f>
        <v>3956682.83349701</v>
      </c>
      <c r="R46" s="20" t="n">
        <f aca="false">R34-R45-R39-R35</f>
        <v>5449503.87604581</v>
      </c>
      <c r="S46" s="20" t="n">
        <f aca="false">S34-S45-S39-S35</f>
        <v>5440957.75172066</v>
      </c>
      <c r="T46" s="20" t="n">
        <f aca="false">T34-T45-T39-T35</f>
        <v>5431005.69558211</v>
      </c>
      <c r="U46" s="20" t="n">
        <f aca="false">U34-U45-U39-U35</f>
        <v>5419608.01578072</v>
      </c>
      <c r="V46" s="20" t="n">
        <f aca="false">V34-V45-V39-V35</f>
        <v>5406724.07206609</v>
      </c>
      <c r="W46" s="20" t="n">
        <f aca="false">W34-W45-W39-W35</f>
        <v>5392312.25379766</v>
      </c>
      <c r="X46" s="20" t="n">
        <f aca="false">X34-X45-X39-X35</f>
        <v>5376329.95744534</v>
      </c>
      <c r="Y46" s="20" t="n">
        <f aca="false">Y34-Y45-Y39-Y35</f>
        <v>7039576.1670693</v>
      </c>
      <c r="Z46" s="20" t="n">
        <f aca="false">Z34-Z45-Z39-Z35</f>
        <v>7020321.01676098</v>
      </c>
      <c r="AA46" s="20" t="n">
        <f aca="false">AA34-AA45-AA39-AA35</f>
        <v>6999361.38754708</v>
      </c>
      <c r="AB46" s="20" t="n">
        <f aca="false">AB34-AB45-AB39-AB35</f>
        <v>6976650.46872479</v>
      </c>
      <c r="AC46" s="20" t="n">
        <f aca="false">AC34-AC45-AC39-AC35</f>
        <v>6952140.33612959</v>
      </c>
    </row>
    <row r="47" customFormat="false" ht="15" hidden="false" customHeight="false" outlineLevel="0" collapsed="false">
      <c r="A47" s="2" t="s">
        <v>358</v>
      </c>
      <c r="B47" s="2" t="s">
        <v>74</v>
      </c>
      <c r="E47" s="20" t="n">
        <f aca="false">0</f>
        <v>0</v>
      </c>
      <c r="F47" s="20" t="n">
        <f aca="false">E49</f>
        <v>0</v>
      </c>
      <c r="G47" s="20" t="n">
        <f aca="false">F49</f>
        <v>0</v>
      </c>
      <c r="H47" s="20" t="n">
        <f aca="false">G49</f>
        <v>0</v>
      </c>
      <c r="I47" s="20" t="n">
        <f aca="false">H49</f>
        <v>0</v>
      </c>
      <c r="J47" s="20" t="n">
        <f aca="false">I49</f>
        <v>0</v>
      </c>
      <c r="K47" s="20" t="n">
        <f aca="false">J49</f>
        <v>0</v>
      </c>
      <c r="L47" s="20" t="n">
        <f aca="false">K49</f>
        <v>0</v>
      </c>
      <c r="M47" s="20" t="n">
        <f aca="false">L49</f>
        <v>0</v>
      </c>
      <c r="N47" s="20" t="n">
        <f aca="false">M49</f>
        <v>0</v>
      </c>
      <c r="O47" s="20" t="n">
        <f aca="false">N49</f>
        <v>0</v>
      </c>
      <c r="P47" s="20" t="n">
        <f aca="false">O49</f>
        <v>0</v>
      </c>
      <c r="Q47" s="20" t="n">
        <f aca="false">P49</f>
        <v>0</v>
      </c>
      <c r="R47" s="20" t="n">
        <f aca="false">Q49</f>
        <v>0</v>
      </c>
      <c r="S47" s="20" t="n">
        <f aca="false">R49</f>
        <v>0</v>
      </c>
      <c r="T47" s="20" t="n">
        <f aca="false">S49</f>
        <v>0</v>
      </c>
      <c r="U47" s="20" t="n">
        <f aca="false">T49</f>
        <v>0</v>
      </c>
      <c r="V47" s="20" t="n">
        <f aca="false">U49</f>
        <v>0</v>
      </c>
      <c r="W47" s="20" t="n">
        <f aca="false">V49</f>
        <v>0</v>
      </c>
      <c r="X47" s="20" t="n">
        <f aca="false">W49</f>
        <v>0</v>
      </c>
      <c r="Y47" s="20" t="n">
        <f aca="false">X49</f>
        <v>0</v>
      </c>
      <c r="Z47" s="20" t="n">
        <f aca="false">Y49</f>
        <v>0</v>
      </c>
      <c r="AA47" s="20" t="n">
        <f aca="false">Z49</f>
        <v>0</v>
      </c>
      <c r="AB47" s="20" t="n">
        <f aca="false">AA49</f>
        <v>0</v>
      </c>
      <c r="AC47" s="20" t="n">
        <f aca="false">AB49</f>
        <v>0</v>
      </c>
    </row>
    <row r="48" customFormat="false" ht="15" hidden="false" customHeight="false" outlineLevel="0" collapsed="false">
      <c r="A48" s="2" t="s">
        <v>359</v>
      </c>
      <c r="B48" s="2" t="s">
        <v>74</v>
      </c>
      <c r="E48" s="20" t="n">
        <f aca="false">MAX(0,E46-E47)</f>
        <v>3510776.87660954</v>
      </c>
      <c r="F48" s="20" t="n">
        <f aca="false">MAX(0,F46-F47)</f>
        <v>3610081.12452535</v>
      </c>
      <c r="G48" s="20" t="n">
        <f aca="false">MAX(0,G46-G47)</f>
        <v>3717335.46849244</v>
      </c>
      <c r="H48" s="20" t="n">
        <f aca="false">MAX(0,H46-H47)</f>
        <v>3833367.6990866</v>
      </c>
      <c r="I48" s="20" t="n">
        <f aca="false">MAX(0,I46-I47)</f>
        <v>3959087.25502039</v>
      </c>
      <c r="J48" s="20" t="n">
        <f aca="false">MAX(0,J46-J47)</f>
        <v>4095493.12085909</v>
      </c>
      <c r="K48" s="20" t="n">
        <f aca="false">MAX(0,K46-K47)</f>
        <v>4243682.48489784</v>
      </c>
      <c r="L48" s="20" t="n">
        <f aca="false">MAX(0,L46-L47)</f>
        <v>4404860.23027921</v>
      </c>
      <c r="M48" s="20" t="n">
        <f aca="false">MAX(0,M46-M47)</f>
        <v>4580349.33945368</v>
      </c>
      <c r="N48" s="20" t="n">
        <f aca="false">MAX(0,N46-N47)</f>
        <v>4771602.29978395</v>
      </c>
      <c r="O48" s="20" t="n">
        <f aca="false">MAX(0,O46-O47)</f>
        <v>4980213.60653284</v>
      </c>
      <c r="P48" s="20" t="n">
        <f aca="false">MAX(0,P46-P47)</f>
        <v>5207933.46872323</v>
      </c>
      <c r="Q48" s="20" t="n">
        <f aca="false">MAX(0,Q46-Q47)</f>
        <v>3956682.83349701</v>
      </c>
      <c r="R48" s="20" t="n">
        <f aca="false">MAX(0,R46-R47)</f>
        <v>5449503.87604581</v>
      </c>
      <c r="S48" s="20" t="n">
        <f aca="false">MAX(0,S46-S47)</f>
        <v>5440957.75172066</v>
      </c>
      <c r="T48" s="20" t="n">
        <f aca="false">MAX(0,T46-T47)</f>
        <v>5431005.69558211</v>
      </c>
      <c r="U48" s="20" t="n">
        <f aca="false">MAX(0,U46-U47)</f>
        <v>5419608.01578072</v>
      </c>
      <c r="V48" s="20" t="n">
        <f aca="false">MAX(0,V46-V47)</f>
        <v>5406724.07206609</v>
      </c>
      <c r="W48" s="20" t="n">
        <f aca="false">MAX(0,W46-W47)</f>
        <v>5392312.25379766</v>
      </c>
      <c r="X48" s="20" t="n">
        <f aca="false">MAX(0,X46-X47)</f>
        <v>5376329.95744534</v>
      </c>
      <c r="Y48" s="20" t="n">
        <f aca="false">MAX(0,Y46-Y47)</f>
        <v>7039576.1670693</v>
      </c>
      <c r="Z48" s="20" t="n">
        <f aca="false">MAX(0,Z46-Z47)</f>
        <v>7020321.01676098</v>
      </c>
      <c r="AA48" s="20" t="n">
        <f aca="false">MAX(0,AA46-AA47)</f>
        <v>6999361.38754708</v>
      </c>
      <c r="AB48" s="20" t="n">
        <f aca="false">MAX(0,AB46-AB47)</f>
        <v>6976650.46872479</v>
      </c>
      <c r="AC48" s="20" t="n">
        <f aca="false">MAX(0,AC46-AC47)</f>
        <v>6952140.33612959</v>
      </c>
    </row>
    <row r="49" customFormat="false" ht="15" hidden="false" customHeight="false" outlineLevel="0" collapsed="false">
      <c r="A49" s="2" t="s">
        <v>360</v>
      </c>
      <c r="B49" s="2" t="s">
        <v>74</v>
      </c>
      <c r="E49" s="20" t="n">
        <f aca="false">MAX(0,E47-E46)</f>
        <v>0</v>
      </c>
      <c r="F49" s="20" t="n">
        <f aca="false">MAX(0,F47-F46)</f>
        <v>0</v>
      </c>
      <c r="G49" s="20" t="n">
        <f aca="false">MAX(0,G47-G46)</f>
        <v>0</v>
      </c>
      <c r="H49" s="20" t="n">
        <f aca="false">MAX(0,H47-H46)</f>
        <v>0</v>
      </c>
      <c r="I49" s="20" t="n">
        <f aca="false">MAX(0,I47-I46)</f>
        <v>0</v>
      </c>
      <c r="J49" s="20" t="n">
        <f aca="false">MAX(0,J47-J46)</f>
        <v>0</v>
      </c>
      <c r="K49" s="20" t="n">
        <f aca="false">MAX(0,K47-K46)</f>
        <v>0</v>
      </c>
      <c r="L49" s="20" t="n">
        <f aca="false">MAX(0,L47-L46)</f>
        <v>0</v>
      </c>
      <c r="M49" s="20" t="n">
        <f aca="false">MAX(0,M47-M46)</f>
        <v>0</v>
      </c>
      <c r="N49" s="20" t="n">
        <f aca="false">MAX(0,N47-N46)</f>
        <v>0</v>
      </c>
      <c r="O49" s="20" t="n">
        <f aca="false">MAX(0,O47-O46)</f>
        <v>0</v>
      </c>
      <c r="P49" s="20" t="n">
        <f aca="false">MAX(0,P47-P46)</f>
        <v>0</v>
      </c>
      <c r="Q49" s="20" t="n">
        <f aca="false">MAX(0,Q47-Q46)</f>
        <v>0</v>
      </c>
      <c r="R49" s="20" t="n">
        <f aca="false">MAX(0,R47-R46)</f>
        <v>0</v>
      </c>
      <c r="S49" s="20" t="n">
        <f aca="false">MAX(0,S47-S46)</f>
        <v>0</v>
      </c>
      <c r="T49" s="20" t="n">
        <f aca="false">MAX(0,T47-T46)</f>
        <v>0</v>
      </c>
      <c r="U49" s="20" t="n">
        <f aca="false">MAX(0,U47-U46)</f>
        <v>0</v>
      </c>
      <c r="V49" s="20" t="n">
        <f aca="false">MAX(0,V47-V46)</f>
        <v>0</v>
      </c>
      <c r="W49" s="20" t="n">
        <f aca="false">MAX(0,W47-W46)</f>
        <v>0</v>
      </c>
      <c r="X49" s="20" t="n">
        <f aca="false">MAX(0,X47-X46)</f>
        <v>0</v>
      </c>
      <c r="Y49" s="20" t="n">
        <f aca="false">MAX(0,Y47-Y46)</f>
        <v>0</v>
      </c>
      <c r="Z49" s="20" t="n">
        <f aca="false">MAX(0,Z47-Z46)</f>
        <v>0</v>
      </c>
      <c r="AA49" s="20" t="n">
        <f aca="false">MAX(0,AA47-AA46)</f>
        <v>0</v>
      </c>
      <c r="AB49" s="20" t="n">
        <f aca="false">MAX(0,AB47-AB46)</f>
        <v>0</v>
      </c>
      <c r="AC49" s="20" t="n">
        <f aca="false">MAX(0,AC47-AC46)</f>
        <v>0</v>
      </c>
    </row>
    <row r="50" customFormat="false" ht="15" hidden="false" customHeight="false" outlineLevel="0" collapsed="false">
      <c r="A50" s="2" t="s">
        <v>361</v>
      </c>
      <c r="B50" s="2" t="s">
        <v>362</v>
      </c>
      <c r="E50" s="22" t="n">
        <f aca="false">IF(1&lt;=in_tax_relief_years,in_cit*(1-in_tax_relief),in_cit)</f>
        <v>0.025</v>
      </c>
      <c r="F50" s="22" t="n">
        <f aca="false">IF(2&lt;=in_tax_relief_years,in_cit*(1-in_tax_relief),in_cit)</f>
        <v>0.025</v>
      </c>
      <c r="G50" s="22" t="n">
        <f aca="false">IF(3&lt;=in_tax_relief_years,in_cit*(1-in_tax_relief),in_cit)</f>
        <v>0.025</v>
      </c>
      <c r="H50" s="22" t="n">
        <f aca="false">IF(4&lt;=in_tax_relief_years,in_cit*(1-in_tax_relief),in_cit)</f>
        <v>0.025</v>
      </c>
      <c r="I50" s="22" t="n">
        <f aca="false">IF(5&lt;=in_tax_relief_years,in_cit*(1-in_tax_relief),in_cit)</f>
        <v>0.025</v>
      </c>
      <c r="J50" s="22" t="n">
        <f aca="false">IF(6&lt;=in_tax_relief_years,in_cit*(1-in_tax_relief),in_cit)</f>
        <v>0.025</v>
      </c>
      <c r="K50" s="22" t="n">
        <f aca="false">IF(7&lt;=in_tax_relief_years,in_cit*(1-in_tax_relief),in_cit)</f>
        <v>0.025</v>
      </c>
      <c r="L50" s="22" t="n">
        <f aca="false">IF(8&lt;=in_tax_relief_years,in_cit*(1-in_tax_relief),in_cit)</f>
        <v>0.025</v>
      </c>
      <c r="M50" s="22" t="n">
        <f aca="false">IF(9&lt;=in_tax_relief_years,in_cit*(1-in_tax_relief),in_cit)</f>
        <v>0.025</v>
      </c>
      <c r="N50" s="22" t="n">
        <f aca="false">IF(10&lt;=in_tax_relief_years,in_cit*(1-in_tax_relief),in_cit)</f>
        <v>0.025</v>
      </c>
      <c r="O50" s="22" t="n">
        <f aca="false">IF(11&lt;=in_tax_relief_years,in_cit*(1-in_tax_relief),in_cit)</f>
        <v>0.1</v>
      </c>
      <c r="P50" s="22" t="n">
        <f aca="false">IF(12&lt;=in_tax_relief_years,in_cit*(1-in_tax_relief),in_cit)</f>
        <v>0.1</v>
      </c>
      <c r="Q50" s="22" t="n">
        <f aca="false">IF(13&lt;=in_tax_relief_years,in_cit*(1-in_tax_relief),in_cit)</f>
        <v>0.1</v>
      </c>
      <c r="R50" s="22" t="n">
        <f aca="false">IF(14&lt;=in_tax_relief_years,in_cit*(1-in_tax_relief),in_cit)</f>
        <v>0.1</v>
      </c>
      <c r="S50" s="22" t="n">
        <f aca="false">IF(15&lt;=in_tax_relief_years,in_cit*(1-in_tax_relief),in_cit)</f>
        <v>0.1</v>
      </c>
      <c r="T50" s="22" t="n">
        <f aca="false">IF(16&lt;=in_tax_relief_years,in_cit*(1-in_tax_relief),in_cit)</f>
        <v>0.1</v>
      </c>
      <c r="U50" s="22" t="n">
        <f aca="false">IF(17&lt;=in_tax_relief_years,in_cit*(1-in_tax_relief),in_cit)</f>
        <v>0.1</v>
      </c>
      <c r="V50" s="22" t="n">
        <f aca="false">IF(18&lt;=in_tax_relief_years,in_cit*(1-in_tax_relief),in_cit)</f>
        <v>0.1</v>
      </c>
      <c r="W50" s="22" t="n">
        <f aca="false">IF(19&lt;=in_tax_relief_years,in_cit*(1-in_tax_relief),in_cit)</f>
        <v>0.1</v>
      </c>
      <c r="X50" s="22" t="n">
        <f aca="false">IF(20&lt;=in_tax_relief_years,in_cit*(1-in_tax_relief),in_cit)</f>
        <v>0.1</v>
      </c>
      <c r="Y50" s="22" t="n">
        <f aca="false">IF(21&lt;=in_tax_relief_years,in_cit*(1-in_tax_relief),in_cit)</f>
        <v>0.1</v>
      </c>
      <c r="Z50" s="22" t="n">
        <f aca="false">IF(22&lt;=in_tax_relief_years,in_cit*(1-in_tax_relief),in_cit)</f>
        <v>0.1</v>
      </c>
      <c r="AA50" s="22" t="n">
        <f aca="false">IF(23&lt;=in_tax_relief_years,in_cit*(1-in_tax_relief),in_cit)</f>
        <v>0.1</v>
      </c>
      <c r="AB50" s="22" t="n">
        <f aca="false">IF(24&lt;=in_tax_relief_years,in_cit*(1-in_tax_relief),in_cit)</f>
        <v>0.1</v>
      </c>
      <c r="AC50" s="22" t="n">
        <f aca="false">IF(25&lt;=in_tax_relief_years,in_cit*(1-in_tax_relief),in_cit)</f>
        <v>0.1</v>
      </c>
    </row>
    <row r="51" customFormat="false" ht="15" hidden="false" customHeight="false" outlineLevel="0" collapsed="false">
      <c r="A51" s="2" t="s">
        <v>363</v>
      </c>
      <c r="B51" s="2" t="s">
        <v>74</v>
      </c>
      <c r="E51" s="20" t="n">
        <f aca="false">E48*E50</f>
        <v>87769.4219152385</v>
      </c>
      <c r="F51" s="20" t="n">
        <f aca="false">F48*F50</f>
        <v>90252.0281131337</v>
      </c>
      <c r="G51" s="20" t="n">
        <f aca="false">G48*G50</f>
        <v>92933.386712311</v>
      </c>
      <c r="H51" s="20" t="n">
        <f aca="false">H48*H50</f>
        <v>95834.192477165</v>
      </c>
      <c r="I51" s="20" t="n">
        <f aca="false">I48*I50</f>
        <v>98977.1813755099</v>
      </c>
      <c r="J51" s="20" t="n">
        <f aca="false">J48*J50</f>
        <v>102387.328021477</v>
      </c>
      <c r="K51" s="20" t="n">
        <f aca="false">K48*K50</f>
        <v>106092.062122446</v>
      </c>
      <c r="L51" s="20" t="n">
        <f aca="false">L48*L50</f>
        <v>110121.50575698</v>
      </c>
      <c r="M51" s="20" t="n">
        <f aca="false">M48*M50</f>
        <v>114508.733486342</v>
      </c>
      <c r="N51" s="20" t="n">
        <f aca="false">N48*N50</f>
        <v>119290.057494599</v>
      </c>
      <c r="O51" s="20" t="n">
        <f aca="false">O48*O50</f>
        <v>498021.360653284</v>
      </c>
      <c r="P51" s="20" t="n">
        <f aca="false">P48*P50</f>
        <v>520793.346872323</v>
      </c>
      <c r="Q51" s="20" t="n">
        <f aca="false">Q48*Q50</f>
        <v>395668.283349701</v>
      </c>
      <c r="R51" s="20" t="n">
        <f aca="false">R48*R50</f>
        <v>544950.387604581</v>
      </c>
      <c r="S51" s="20" t="n">
        <f aca="false">S48*S50</f>
        <v>544095.775172066</v>
      </c>
      <c r="T51" s="20" t="n">
        <f aca="false">T48*T50</f>
        <v>543100.569558212</v>
      </c>
      <c r="U51" s="20" t="n">
        <f aca="false">U48*U50</f>
        <v>541960.801578072</v>
      </c>
      <c r="V51" s="20" t="n">
        <f aca="false">V48*V50</f>
        <v>540672.407206609</v>
      </c>
      <c r="W51" s="20" t="n">
        <f aca="false">W48*W50</f>
        <v>539231.225379766</v>
      </c>
      <c r="X51" s="20" t="n">
        <f aca="false">X48*X50</f>
        <v>537632.995744534</v>
      </c>
      <c r="Y51" s="20" t="n">
        <f aca="false">Y48*Y50</f>
        <v>703957.61670693</v>
      </c>
      <c r="Z51" s="20" t="n">
        <f aca="false">Z48*Z50</f>
        <v>702032.101676098</v>
      </c>
      <c r="AA51" s="20" t="n">
        <f aca="false">AA48*AA50</f>
        <v>699936.138754708</v>
      </c>
      <c r="AB51" s="20" t="n">
        <f aca="false">AB48*AB50</f>
        <v>697665.046872479</v>
      </c>
      <c r="AC51" s="20" t="n">
        <f aca="false">AC48*AC50</f>
        <v>695214.033612959</v>
      </c>
    </row>
    <row r="53" customFormat="false" ht="15" hidden="false" customHeight="false" outlineLevel="0" collapsed="false">
      <c r="A53" s="17" t="s">
        <v>364</v>
      </c>
    </row>
    <row r="54" customFormat="false" ht="15" hidden="false" customHeight="false" outlineLevel="0" collapsed="false">
      <c r="A54" s="2" t="s">
        <v>365</v>
      </c>
      <c r="B54" s="2" t="s">
        <v>74</v>
      </c>
      <c r="E54" s="20" t="n">
        <f aca="false">IF(1&lt;in_life,E21*in_receivable_days/365,0)</f>
        <v>1496788.53819014</v>
      </c>
      <c r="F54" s="20" t="n">
        <f aca="false">IF(2&lt;in_life,F21*in_receivable_days/365,0)</f>
        <v>1505648.31681014</v>
      </c>
      <c r="G54" s="20" t="n">
        <f aca="false">IF(3&lt;in_life,G21*in_receivable_days/365,0)</f>
        <v>1514535.61214871</v>
      </c>
      <c r="H54" s="20" t="n">
        <f aca="false">IF(4&lt;in_life,H21*in_receivable_days/365,0)</f>
        <v>1523450.08856238</v>
      </c>
      <c r="I54" s="20" t="n">
        <f aca="false">IF(5&lt;in_life,I21*in_receivable_days/365,0)</f>
        <v>1532391.4009431</v>
      </c>
      <c r="J54" s="20" t="n">
        <f aca="false">IF(6&lt;in_life,J21*in_receivable_days/365,0)</f>
        <v>1541359.19456258</v>
      </c>
      <c r="K54" s="20" t="n">
        <f aca="false">IF(7&lt;in_life,K21*in_receivable_days/365,0)</f>
        <v>1550353.10491436</v>
      </c>
      <c r="L54" s="20" t="n">
        <f aca="false">IF(8&lt;in_life,L21*in_receivable_days/365,0)</f>
        <v>1559372.75755372</v>
      </c>
      <c r="M54" s="20" t="n">
        <f aca="false">IF(9&lt;in_life,M21*in_receivable_days/365,0)</f>
        <v>1568417.76793537</v>
      </c>
      <c r="N54" s="20" t="n">
        <f aca="false">IF(10&lt;in_life,N21*in_receivable_days/365,0)</f>
        <v>1577487.7412489</v>
      </c>
      <c r="O54" s="20" t="n">
        <f aca="false">IF(11&lt;in_life,O21*in_receivable_days/365,0)</f>
        <v>1586582.27225191</v>
      </c>
      <c r="P54" s="20" t="n">
        <f aca="false">IF(12&lt;in_life,P21*in_receivable_days/365,0)</f>
        <v>1595700.94510085</v>
      </c>
      <c r="Q54" s="20" t="n">
        <f aca="false">IF(13&lt;in_life,Q21*in_receivable_days/365,0)</f>
        <v>1604843.33317955</v>
      </c>
      <c r="R54" s="20" t="n">
        <f aca="false">IF(14&lt;in_life,R21*in_receivable_days/365,0)</f>
        <v>1614008.99892531</v>
      </c>
      <c r="S54" s="20" t="n">
        <f aca="false">IF(15&lt;in_life,S21*in_receivable_days/365,0)</f>
        <v>1623197.49365266</v>
      </c>
      <c r="T54" s="20" t="n">
        <f aca="false">IF(16&lt;in_life,T21*in_receivable_days/365,0)</f>
        <v>1632408.35737468</v>
      </c>
      <c r="U54" s="20" t="n">
        <f aca="false">IF(17&lt;in_life,U21*in_receivable_days/365,0)</f>
        <v>1641641.11862176</v>
      </c>
      <c r="V54" s="20" t="n">
        <f aca="false">IF(18&lt;in_life,V21*in_receivable_days/365,0)</f>
        <v>1650895.29425805</v>
      </c>
      <c r="W54" s="20" t="n">
        <f aca="false">IF(19&lt;in_life,W21*in_receivable_days/365,0)</f>
        <v>1660170.38929521</v>
      </c>
      <c r="X54" s="20" t="n">
        <f aca="false">IF(20&lt;in_life,X21*in_receivable_days/365,0)</f>
        <v>1669465.89670368</v>
      </c>
      <c r="Y54" s="20" t="n">
        <f aca="false">IF(21&lt;in_life,Y21*in_receivable_days/365,0)</f>
        <v>1678781.29722139</v>
      </c>
      <c r="Z54" s="20" t="n">
        <f aca="false">IF(22&lt;in_life,Z21*in_receivable_days/365,0)</f>
        <v>1688116.05915979</v>
      </c>
      <c r="AA54" s="20" t="n">
        <f aca="false">IF(23&lt;in_life,AA21*in_receivable_days/365,0)</f>
        <v>1697469.63820723</v>
      </c>
      <c r="AB54" s="20" t="n">
        <f aca="false">IF(24&lt;in_life,AB21*in_receivable_days/365,0)</f>
        <v>1706841.47722971</v>
      </c>
      <c r="AC54" s="20" t="n">
        <f aca="false">IF(25&lt;in_life,AC21*in_receivable_days/365,0)</f>
        <v>0</v>
      </c>
    </row>
    <row r="55" customFormat="false" ht="15" hidden="false" customHeight="false" outlineLevel="0" collapsed="false">
      <c r="A55" s="2" t="s">
        <v>366</v>
      </c>
      <c r="B55" s="2" t="s">
        <v>74</v>
      </c>
      <c r="E55" s="20" t="n">
        <f aca="false">E54</f>
        <v>1496788.53819014</v>
      </c>
      <c r="F55" s="20" t="n">
        <f aca="false">F54-E54</f>
        <v>8859.77861999418</v>
      </c>
      <c r="G55" s="20" t="n">
        <f aca="false">G54-F54</f>
        <v>8887.2953385748</v>
      </c>
      <c r="H55" s="20" t="n">
        <f aca="false">H54-G54</f>
        <v>8914.47641366557</v>
      </c>
      <c r="I55" s="20" t="n">
        <f aca="false">I54-H54</f>
        <v>8941.31238072366</v>
      </c>
      <c r="J55" s="20" t="n">
        <f aca="false">J54-I54</f>
        <v>8967.79361948278</v>
      </c>
      <c r="K55" s="20" t="n">
        <f aca="false">K54-J54</f>
        <v>8993.91035177722</v>
      </c>
      <c r="L55" s="20" t="n">
        <f aca="false">L54-K54</f>
        <v>9019.65263935691</v>
      </c>
      <c r="M55" s="20" t="n">
        <f aca="false">M54-L54</f>
        <v>9045.01038165251</v>
      </c>
      <c r="N55" s="20" t="n">
        <f aca="false">N54-M54</f>
        <v>9069.97331353067</v>
      </c>
      <c r="O55" s="20" t="n">
        <f aca="false">O54-N54</f>
        <v>9094.53100300673</v>
      </c>
      <c r="P55" s="20" t="n">
        <f aca="false">P54-O54</f>
        <v>9118.67284894269</v>
      </c>
      <c r="Q55" s="20" t="n">
        <f aca="false">Q54-P54</f>
        <v>9142.38807869609</v>
      </c>
      <c r="R55" s="20" t="n">
        <f aca="false">R54-Q54</f>
        <v>9165.66574576031</v>
      </c>
      <c r="S55" s="20" t="n">
        <f aca="false">S54-R54</f>
        <v>9188.49472735706</v>
      </c>
      <c r="T55" s="20" t="n">
        <f aca="false">T54-S54</f>
        <v>9210.86372201168</v>
      </c>
      <c r="U55" s="20" t="n">
        <f aca="false">U54-T54</f>
        <v>9232.76124708774</v>
      </c>
      <c r="V55" s="20" t="n">
        <f aca="false">V54-U54</f>
        <v>9254.17563629011</v>
      </c>
      <c r="W55" s="20" t="n">
        <f aca="false">W54-V54</f>
        <v>9275.09503715532</v>
      </c>
      <c r="X55" s="20" t="n">
        <f aca="false">X54-W54</f>
        <v>9295.50740847224</v>
      </c>
      <c r="Y55" s="20" t="n">
        <f aca="false">Y54-X54</f>
        <v>9315.40051771211</v>
      </c>
      <c r="Z55" s="20" t="n">
        <f aca="false">Z54-Y54</f>
        <v>9334.76193839568</v>
      </c>
      <c r="AA55" s="20" t="n">
        <f aca="false">AA54-Z54</f>
        <v>9353.57904744148</v>
      </c>
      <c r="AB55" s="20" t="n">
        <f aca="false">AB54-AA54</f>
        <v>9371.8390224746</v>
      </c>
      <c r="AC55" s="20" t="n">
        <f aca="false">AC54-AB54</f>
        <v>-1706841.47722971</v>
      </c>
    </row>
    <row r="57" customFormat="false" ht="15" hidden="false" customHeight="false" outlineLevel="0" collapsed="false">
      <c r="A57" s="17" t="s">
        <v>367</v>
      </c>
    </row>
    <row r="58" customFormat="false" ht="15" hidden="false" customHeight="false" outlineLevel="0" collapsed="false">
      <c r="A58" s="3" t="s">
        <v>368</v>
      </c>
      <c r="B58" s="2" t="s">
        <v>74</v>
      </c>
      <c r="E58" s="21" t="n">
        <f aca="false">E34-E51-E55-E35</f>
        <v>5545409.21036239</v>
      </c>
      <c r="F58" s="21" t="n">
        <f aca="false">F34-F51-F55-F35</f>
        <v>7037368.84502707</v>
      </c>
      <c r="G58" s="21" t="n">
        <f aca="false">G34-G51-G55-G35</f>
        <v>7040206.35438052</v>
      </c>
      <c r="H58" s="21" t="n">
        <f aca="false">H34-H51-H55-H35</f>
        <v>7041828.50395052</v>
      </c>
      <c r="I58" s="21" t="n">
        <f aca="false">I34-I51-I55-I35</f>
        <v>7042182.71158359</v>
      </c>
      <c r="J58" s="21" t="n">
        <f aca="false">J34-J51-J55-J35</f>
        <v>7041213.4363001</v>
      </c>
      <c r="K58" s="21" t="n">
        <f aca="false">K34-K51-K55-K35</f>
        <v>7038861.94514601</v>
      </c>
      <c r="L58" s="21" t="n">
        <f aca="false">L34-L51-L55-L35</f>
        <v>7035066.05882674</v>
      </c>
      <c r="M58" s="21" t="n">
        <f aca="false">M34-M51-M55-M35</f>
        <v>7029759.8741117</v>
      </c>
      <c r="N58" s="21" t="n">
        <f aca="false">N34-N51-N55-N35</f>
        <v>7022873.46080503</v>
      </c>
      <c r="O58" s="21" t="n">
        <f aca="false">O34-O51-O55-O35</f>
        <v>6640816.51037739</v>
      </c>
      <c r="P58" s="21" t="n">
        <f aca="false">P34-P51-P55-P35</f>
        <v>6613463.06688728</v>
      </c>
      <c r="Q58" s="21" t="n">
        <f aca="false">Q34-Q51-Q55-Q35</f>
        <v>5232714.76556955</v>
      </c>
      <c r="R58" s="21" t="n">
        <f aca="false">R34-R51-R55-R35</f>
        <v>6576230.42619641</v>
      </c>
      <c r="S58" s="21" t="n">
        <f aca="false">S34-S51-S55-S35</f>
        <v>6568516.08532218</v>
      </c>
      <c r="T58" s="21" t="n">
        <f aca="false">T34-T51-T55-T35</f>
        <v>6559536.86580284</v>
      </c>
      <c r="U58" s="21" t="n">
        <f aca="false">U34-U51-U55-U35</f>
        <v>6549257.0564565</v>
      </c>
      <c r="V58" s="21" t="n">
        <f aca="false">V34-V51-V55-V35</f>
        <v>6537640.09272414</v>
      </c>
      <c r="W58" s="21" t="n">
        <f aca="false">W34-W51-W55-W35</f>
        <v>6524648.53688169</v>
      </c>
      <c r="X58" s="21" t="n">
        <f aca="false">X34-X51-X55-X35</f>
        <v>6510244.05779328</v>
      </c>
      <c r="Y58" s="21" t="n">
        <f aca="false">Y34-Y51-Y55-Y35</f>
        <v>6326303.14984466</v>
      </c>
      <c r="Z58" s="21" t="n">
        <f aca="false">Z34-Z51-Z55-Z35</f>
        <v>6308954.15314649</v>
      </c>
      <c r="AA58" s="21" t="n">
        <f aca="false">AA34-AA51-AA55-AA35</f>
        <v>6290071.66974493</v>
      </c>
      <c r="AB58" s="21" t="n">
        <f aca="false">AB34-AB51-AB55-AB35</f>
        <v>6269613.58282983</v>
      </c>
      <c r="AC58" s="21" t="n">
        <f aca="false">AC34-AC51-AC55-AC35</f>
        <v>7963767.77974633</v>
      </c>
    </row>
    <row r="59" customFormat="false" ht="15" hidden="false" customHeight="false" outlineLevel="0" collapsed="false">
      <c r="A59" s="2" t="s">
        <v>369</v>
      </c>
      <c r="B59" s="2" t="s">
        <v>209</v>
      </c>
      <c r="E59" s="23" t="n">
        <f aca="false">IF(E40&gt;0,E58/E40,"")</f>
        <v>1.90963379252563</v>
      </c>
      <c r="F59" s="23" t="n">
        <f aca="false">IF(F40&gt;0,F58/F40,"")</f>
        <v>2.42340949912559</v>
      </c>
      <c r="G59" s="23" t="n">
        <f aca="false">IF(G40&gt;0,G58/G40,"")</f>
        <v>2.42438663237986</v>
      </c>
      <c r="H59" s="23" t="n">
        <f aca="false">IF(H40&gt;0,H58/H40,"")</f>
        <v>2.42494524068411</v>
      </c>
      <c r="I59" s="23" t="n">
        <f aca="false">IF(I40&gt;0,I58/I40,"")</f>
        <v>2.42506721668985</v>
      </c>
      <c r="J59" s="23" t="n">
        <f aca="false">IF(J40&gt;0,J58/J40,"")</f>
        <v>2.4247334341383</v>
      </c>
      <c r="K59" s="23" t="n">
        <f aca="false">IF(K40&gt;0,K58/K40,"")</f>
        <v>2.42392366757278</v>
      </c>
      <c r="L59" s="23" t="n">
        <f aca="false">IF(L40&gt;0,L58/L40,"")</f>
        <v>2.42261650474442</v>
      </c>
      <c r="M59" s="23" t="n">
        <f aca="false">IF(M40&gt;0,M58/M40,"")</f>
        <v>2.42078925101853</v>
      </c>
      <c r="N59" s="23" t="n">
        <f aca="false">IF(N40&gt;0,N58/N40,"")</f>
        <v>2.41841782502256</v>
      </c>
      <c r="O59" s="23" t="n">
        <f aca="false">IF(O40&gt;0,O58/O40,"")</f>
        <v>2.28685154460406</v>
      </c>
      <c r="P59" s="23" t="n">
        <f aca="false">IF(P40&gt;0,P58/P40,"")</f>
        <v>2.27743203054312</v>
      </c>
      <c r="Q59" s="23" t="str">
        <f aca="false">IF(Q40&gt;0,Q58/Q40,"")</f>
        <v/>
      </c>
      <c r="R59" s="23" t="str">
        <f aca="false">IF(R40&gt;0,R58/R40,"")</f>
        <v/>
      </c>
      <c r="S59" s="23" t="str">
        <f aca="false">IF(S40&gt;0,S58/S40,"")</f>
        <v/>
      </c>
      <c r="T59" s="23" t="str">
        <f aca="false">IF(T40&gt;0,T58/T40,"")</f>
        <v/>
      </c>
      <c r="U59" s="23" t="str">
        <f aca="false">IF(U40&gt;0,U58/U40,"")</f>
        <v/>
      </c>
      <c r="V59" s="23" t="str">
        <f aca="false">IF(V40&gt;0,V58/V40,"")</f>
        <v/>
      </c>
      <c r="W59" s="23" t="str">
        <f aca="false">IF(W40&gt;0,W58/W40,"")</f>
        <v/>
      </c>
      <c r="X59" s="23" t="str">
        <f aca="false">IF(X40&gt;0,X58/X40,"")</f>
        <v/>
      </c>
      <c r="Y59" s="23" t="str">
        <f aca="false">IF(Y40&gt;0,Y58/Y40,"")</f>
        <v/>
      </c>
      <c r="Z59" s="23" t="str">
        <f aca="false">IF(Z40&gt;0,Z58/Z40,"")</f>
        <v/>
      </c>
      <c r="AA59" s="23" t="str">
        <f aca="false">IF(AA40&gt;0,AA58/AA40,"")</f>
        <v/>
      </c>
      <c r="AB59" s="23" t="str">
        <f aca="false">IF(AB40&gt;0,AB58/AB40,"")</f>
        <v/>
      </c>
      <c r="AC59" s="23" t="str">
        <f aca="false">IF(AC40&gt;0,AC58/AC40,"")</f>
        <v/>
      </c>
    </row>
    <row r="60" customFormat="false" ht="15" hidden="false" customHeight="false" outlineLevel="0" collapsed="false">
      <c r="A60" s="3" t="s">
        <v>370</v>
      </c>
      <c r="B60" s="2" t="s">
        <v>74</v>
      </c>
      <c r="D60" s="21" t="n">
        <f aca="false">-x_equity</f>
        <v>-13446740.8280076</v>
      </c>
      <c r="E60" s="21" t="n">
        <f aca="false">E58-E40</f>
        <v>2641496.83089607</v>
      </c>
      <c r="F60" s="21" t="n">
        <f aca="false">F58-F40</f>
        <v>4133456.46556075</v>
      </c>
      <c r="G60" s="21" t="n">
        <f aca="false">G58-G40</f>
        <v>4136293.9749142</v>
      </c>
      <c r="H60" s="21" t="n">
        <f aca="false">H58-H40</f>
        <v>4137916.1244842</v>
      </c>
      <c r="I60" s="21" t="n">
        <f aca="false">I58-I40</f>
        <v>4138270.33211727</v>
      </c>
      <c r="J60" s="21" t="n">
        <f aca="false">J58-J40</f>
        <v>4137301.05683378</v>
      </c>
      <c r="K60" s="21" t="n">
        <f aca="false">K58-K40</f>
        <v>4134949.56567969</v>
      </c>
      <c r="L60" s="21" t="n">
        <f aca="false">L58-L40</f>
        <v>4131153.67936042</v>
      </c>
      <c r="M60" s="21" t="n">
        <f aca="false">M58-M40</f>
        <v>4125847.49464538</v>
      </c>
      <c r="N60" s="21" t="n">
        <f aca="false">N58-N40</f>
        <v>4118961.08133871</v>
      </c>
      <c r="O60" s="21" t="n">
        <f aca="false">O58-O40</f>
        <v>3736904.13091107</v>
      </c>
      <c r="P60" s="21" t="n">
        <f aca="false">P58-P40</f>
        <v>3709550.68742096</v>
      </c>
      <c r="Q60" s="21" t="n">
        <f aca="false">Q58-Q40</f>
        <v>5232714.76556955</v>
      </c>
      <c r="R60" s="21" t="n">
        <f aca="false">R58-R40</f>
        <v>6576230.42619641</v>
      </c>
      <c r="S60" s="21" t="n">
        <f aca="false">S58-S40</f>
        <v>6568516.08532218</v>
      </c>
      <c r="T60" s="21" t="n">
        <f aca="false">T58-T40</f>
        <v>6559536.86580284</v>
      </c>
      <c r="U60" s="21" t="n">
        <f aca="false">U58-U40</f>
        <v>6549257.0564565</v>
      </c>
      <c r="V60" s="21" t="n">
        <f aca="false">V58-V40</f>
        <v>6537640.09272414</v>
      </c>
      <c r="W60" s="21" t="n">
        <f aca="false">W58-W40</f>
        <v>6524648.53688169</v>
      </c>
      <c r="X60" s="21" t="n">
        <f aca="false">X58-X40</f>
        <v>6510244.05779328</v>
      </c>
      <c r="Y60" s="21" t="n">
        <f aca="false">Y58-Y40</f>
        <v>6326303.14984466</v>
      </c>
      <c r="Z60" s="21" t="n">
        <f aca="false">Z58-Z40</f>
        <v>6308954.15314649</v>
      </c>
      <c r="AA60" s="21" t="n">
        <f aca="false">AA58-AA40</f>
        <v>6290071.66974493</v>
      </c>
      <c r="AB60" s="21" t="n">
        <f aca="false">AB58-AB40</f>
        <v>6269613.58282983</v>
      </c>
      <c r="AC60" s="21" t="n">
        <f aca="false">AC58-AC40</f>
        <v>7963767.77974633</v>
      </c>
    </row>
    <row r="61" customFormat="false" ht="15" hidden="false" customHeight="false" outlineLevel="0" collapsed="false">
      <c r="A61" s="2" t="s">
        <v>371</v>
      </c>
      <c r="B61" s="2" t="s">
        <v>74</v>
      </c>
      <c r="E61" s="20" t="n">
        <f aca="false">IF(1&lt;=in_dep_years,x_capex/in_dep_years,0)</f>
        <v>1612213.8</v>
      </c>
      <c r="F61" s="20" t="n">
        <f aca="false">IF(2&lt;=in_dep_years,x_capex/in_dep_years,0)</f>
        <v>1612213.8</v>
      </c>
      <c r="G61" s="20" t="n">
        <f aca="false">IF(3&lt;=in_dep_years,x_capex/in_dep_years,0)</f>
        <v>1612213.8</v>
      </c>
      <c r="H61" s="20" t="n">
        <f aca="false">IF(4&lt;=in_dep_years,x_capex/in_dep_years,0)</f>
        <v>1612213.8</v>
      </c>
      <c r="I61" s="20" t="n">
        <f aca="false">IF(5&lt;=in_dep_years,x_capex/in_dep_years,0)</f>
        <v>1612213.8</v>
      </c>
      <c r="J61" s="20" t="n">
        <f aca="false">IF(6&lt;=in_dep_years,x_capex/in_dep_years,0)</f>
        <v>1612213.8</v>
      </c>
      <c r="K61" s="20" t="n">
        <f aca="false">IF(7&lt;=in_dep_years,x_capex/in_dep_years,0)</f>
        <v>1612213.8</v>
      </c>
      <c r="L61" s="20" t="n">
        <f aca="false">IF(8&lt;=in_dep_years,x_capex/in_dep_years,0)</f>
        <v>1612213.8</v>
      </c>
      <c r="M61" s="20" t="n">
        <f aca="false">IF(9&lt;=in_dep_years,x_capex/in_dep_years,0)</f>
        <v>1612213.8</v>
      </c>
      <c r="N61" s="20" t="n">
        <f aca="false">IF(10&lt;=in_dep_years,x_capex/in_dep_years,0)</f>
        <v>1612213.8</v>
      </c>
      <c r="O61" s="20" t="n">
        <f aca="false">IF(11&lt;=in_dep_years,x_capex/in_dep_years,0)</f>
        <v>1612213.8</v>
      </c>
      <c r="P61" s="20" t="n">
        <f aca="false">IF(12&lt;=in_dep_years,x_capex/in_dep_years,0)</f>
        <v>1612213.8</v>
      </c>
      <c r="Q61" s="20" t="n">
        <f aca="false">IF(13&lt;=in_dep_years,x_capex/in_dep_years,0)</f>
        <v>1612213.8</v>
      </c>
      <c r="R61" s="20" t="n">
        <f aca="false">IF(14&lt;=in_dep_years,x_capex/in_dep_years,0)</f>
        <v>1612213.8</v>
      </c>
      <c r="S61" s="20" t="n">
        <f aca="false">IF(15&lt;=in_dep_years,x_capex/in_dep_years,0)</f>
        <v>1612213.8</v>
      </c>
      <c r="T61" s="20" t="n">
        <f aca="false">IF(16&lt;=in_dep_years,x_capex/in_dep_years,0)</f>
        <v>1612213.8</v>
      </c>
      <c r="U61" s="20" t="n">
        <f aca="false">IF(17&lt;=in_dep_years,x_capex/in_dep_years,0)</f>
        <v>1612213.8</v>
      </c>
      <c r="V61" s="20" t="n">
        <f aca="false">IF(18&lt;=in_dep_years,x_capex/in_dep_years,0)</f>
        <v>1612213.8</v>
      </c>
      <c r="W61" s="20" t="n">
        <f aca="false">IF(19&lt;=in_dep_years,x_capex/in_dep_years,0)</f>
        <v>1612213.8</v>
      </c>
      <c r="X61" s="20" t="n">
        <f aca="false">IF(20&lt;=in_dep_years,x_capex/in_dep_years,0)</f>
        <v>1612213.8</v>
      </c>
      <c r="Y61" s="20" t="n">
        <f aca="false">IF(21&lt;=in_dep_years,x_capex/in_dep_years,0)</f>
        <v>0</v>
      </c>
      <c r="Z61" s="20" t="n">
        <f aca="false">IF(22&lt;=in_dep_years,x_capex/in_dep_years,0)</f>
        <v>0</v>
      </c>
      <c r="AA61" s="20" t="n">
        <f aca="false">IF(23&lt;=in_dep_years,x_capex/in_dep_years,0)</f>
        <v>0</v>
      </c>
      <c r="AB61" s="20" t="n">
        <f aca="false">IF(24&lt;=in_dep_years,x_capex/in_dep_years,0)</f>
        <v>0</v>
      </c>
      <c r="AC61" s="20" t="n">
        <f aca="false">IF(25&lt;=in_dep_years,x_capex/in_dep_years,0)</f>
        <v>0</v>
      </c>
    </row>
    <row r="62" customFormat="false" ht="15" hidden="false" customHeight="false" outlineLevel="0" collapsed="false">
      <c r="A62" s="2" t="s">
        <v>372</v>
      </c>
      <c r="B62" s="2" t="s">
        <v>74</v>
      </c>
      <c r="E62" s="20" t="n">
        <f aca="false">MAX(0,E34-E61-E35)*E50</f>
        <v>137943.834261694</v>
      </c>
      <c r="F62" s="20" t="n">
        <f aca="false">MAX(0,F34-F61-F35)*F50</f>
        <v>138106.671294005</v>
      </c>
      <c r="G62" s="20" t="n">
        <f aca="false">MAX(0,G34-G61-G35)*G50</f>
        <v>138245.330910785</v>
      </c>
      <c r="H62" s="20" t="n">
        <f aca="false">MAX(0,H34-H61-H35)*H50</f>
        <v>138359.084321034</v>
      </c>
      <c r="I62" s="20" t="n">
        <f aca="false">MAX(0,I34-I61-I35)*I50</f>
        <v>138447.185133496</v>
      </c>
      <c r="J62" s="20" t="n">
        <f aca="false">MAX(0,J34-J61-J35)*J50</f>
        <v>138508.868948527</v>
      </c>
      <c r="K62" s="20" t="n">
        <f aca="false">MAX(0,K34-K61-K35)*K50</f>
        <v>138543.352940506</v>
      </c>
      <c r="L62" s="20" t="n">
        <f aca="false">MAX(0,L34-L61-L35)*L50</f>
        <v>138549.835430577</v>
      </c>
      <c r="M62" s="20" t="n">
        <f aca="false">MAX(0,M34-M61-M35)*M50</f>
        <v>138527.495449492</v>
      </c>
      <c r="N62" s="20" t="n">
        <f aca="false">MAX(0,N34-N61-N35)*N50</f>
        <v>138475.492290329</v>
      </c>
      <c r="O62" s="20" t="n">
        <f aca="false">MAX(0,O34-O61-O35)*O50</f>
        <v>553571.860203369</v>
      </c>
      <c r="P62" s="20" t="n">
        <f aca="false">MAX(0,P34-P61-P35)*P50</f>
        <v>553116.128660855</v>
      </c>
      <c r="Q62" s="20" t="n">
        <f aca="false">MAX(0,Q34-Q61-Q35)*Q50</f>
        <v>402531.163699795</v>
      </c>
      <c r="R62" s="20" t="n">
        <f aca="false">MAX(0,R34-R61-R35)*R50</f>
        <v>551813.267954675</v>
      </c>
      <c r="S62" s="20" t="n">
        <f aca="false">MAX(0,S34-S61-S35)*S50</f>
        <v>550958.65552216</v>
      </c>
      <c r="T62" s="20" t="n">
        <f aca="false">MAX(0,T34-T61-T35)*T50</f>
        <v>549963.449908306</v>
      </c>
      <c r="U62" s="20" t="n">
        <f aca="false">MAX(0,U34-U61-U35)*U50</f>
        <v>548823.681928166</v>
      </c>
      <c r="V62" s="20" t="n">
        <f aca="false">MAX(0,V34-V61-V35)*V50</f>
        <v>547535.287556704</v>
      </c>
      <c r="W62" s="20" t="n">
        <f aca="false">MAX(0,W34-W61-W35)*W50</f>
        <v>546094.105729861</v>
      </c>
      <c r="X62" s="20" t="n">
        <f aca="false">MAX(0,X34-X61-X35)*X50</f>
        <v>544495.876094629</v>
      </c>
      <c r="Y62" s="20" t="n">
        <f aca="false">MAX(0,Y34-Y61-Y35)*Y50</f>
        <v>703957.61670693</v>
      </c>
      <c r="Z62" s="20" t="n">
        <f aca="false">MAX(0,Z34-Z61-Z35)*Z50</f>
        <v>702032.101676098</v>
      </c>
      <c r="AA62" s="20" t="n">
        <f aca="false">MAX(0,AA34-AA61-AA35)*AA50</f>
        <v>699936.138754708</v>
      </c>
      <c r="AB62" s="20" t="n">
        <f aca="false">MAX(0,AB34-AB61-AB35)*AB50</f>
        <v>697665.046872479</v>
      </c>
      <c r="AC62" s="20" t="n">
        <f aca="false">MAX(0,AC34-AC61-AC35)*AC50</f>
        <v>695214.033612959</v>
      </c>
    </row>
    <row r="63" customFormat="false" ht="15" hidden="false" customHeight="false" outlineLevel="0" collapsed="false">
      <c r="A63" s="3" t="s">
        <v>373</v>
      </c>
      <c r="B63" s="2" t="s">
        <v>74</v>
      </c>
      <c r="D63" s="21" t="n">
        <f aca="false">-x_capex</f>
        <v>-32244276</v>
      </c>
      <c r="E63" s="21" t="n">
        <f aca="false">E34-E62-E55-E35</f>
        <v>5495234.79801593</v>
      </c>
      <c r="F63" s="21" t="n">
        <f aca="false">F34-F62-F55-F35</f>
        <v>6989514.2018462</v>
      </c>
      <c r="G63" s="21" t="n">
        <f aca="false">G34-G62-G55-G35</f>
        <v>6994894.41018205</v>
      </c>
      <c r="H63" s="21" t="n">
        <f aca="false">H34-H62-H55-H35</f>
        <v>6999303.61210665</v>
      </c>
      <c r="I63" s="21" t="n">
        <f aca="false">I34-I62-I55-I35</f>
        <v>7002712.7078256</v>
      </c>
      <c r="J63" s="21" t="n">
        <f aca="false">J34-J62-J55-J35</f>
        <v>7005091.89537305</v>
      </c>
      <c r="K63" s="21" t="n">
        <f aca="false">K34-K62-K55-K35</f>
        <v>7006410.65432795</v>
      </c>
      <c r="L63" s="21" t="n">
        <f aca="false">L34-L62-L55-L35</f>
        <v>7006637.72915314</v>
      </c>
      <c r="M63" s="21" t="n">
        <f aca="false">M34-M62-M55-M35</f>
        <v>7005741.11214855</v>
      </c>
      <c r="N63" s="21" t="n">
        <f aca="false">N34-N62-N55-N35</f>
        <v>7003688.0260093</v>
      </c>
      <c r="O63" s="21" t="n">
        <f aca="false">O34-O62-O55-O35</f>
        <v>6585266.01082731</v>
      </c>
      <c r="P63" s="21" t="n">
        <f aca="false">P34-P62-P55-P35</f>
        <v>6581140.28509875</v>
      </c>
      <c r="Q63" s="21" t="n">
        <f aca="false">Q34-Q62-Q55-Q35</f>
        <v>5225851.88521946</v>
      </c>
      <c r="R63" s="21" t="n">
        <f aca="false">R34-R62-R55-R35</f>
        <v>6569367.54584631</v>
      </c>
      <c r="S63" s="21" t="n">
        <f aca="false">S34-S62-S55-S35</f>
        <v>6561653.20497209</v>
      </c>
      <c r="T63" s="21" t="n">
        <f aca="false">T34-T62-T55-T35</f>
        <v>6552673.98545274</v>
      </c>
      <c r="U63" s="21" t="n">
        <f aca="false">U34-U62-U55-U35</f>
        <v>6542394.17610641</v>
      </c>
      <c r="V63" s="21" t="n">
        <f aca="false">V34-V62-V55-V35</f>
        <v>6530777.21237404</v>
      </c>
      <c r="W63" s="21" t="n">
        <f aca="false">W34-W62-W55-W35</f>
        <v>6517785.65653159</v>
      </c>
      <c r="X63" s="21" t="n">
        <f aca="false">X34-X62-X55-X35</f>
        <v>6503381.17744318</v>
      </c>
      <c r="Y63" s="21" t="n">
        <f aca="false">Y34-Y62-Y55-Y35</f>
        <v>6326303.14984466</v>
      </c>
      <c r="Z63" s="21" t="n">
        <f aca="false">Z34-Z62-Z55-Z35</f>
        <v>6308954.15314649</v>
      </c>
      <c r="AA63" s="21" t="n">
        <f aca="false">AA34-AA62-AA55-AA35</f>
        <v>6290071.66974493</v>
      </c>
      <c r="AB63" s="21" t="n">
        <f aca="false">AB34-AB62-AB55-AB35</f>
        <v>6269613.58282983</v>
      </c>
      <c r="AC63" s="21" t="n">
        <f aca="false">AC34-AC62-AC55-AC35</f>
        <v>7963767.77974633</v>
      </c>
    </row>
    <row r="65" customFormat="false" ht="15" hidden="false" customHeight="false" outlineLevel="0" collapsed="false">
      <c r="A65" s="17" t="s">
        <v>374</v>
      </c>
    </row>
    <row r="66" customFormat="false" ht="15" hidden="false" customHeight="false" outlineLevel="0" collapsed="false">
      <c r="A66" s="2" t="s">
        <v>375</v>
      </c>
      <c r="B66" s="2" t="s">
        <v>74</v>
      </c>
      <c r="D66" s="20" t="n">
        <f aca="false">D63</f>
        <v>-32244276</v>
      </c>
      <c r="E66" s="20" t="n">
        <f aca="false">D66+E63</f>
        <v>-26749041.2019841</v>
      </c>
      <c r="F66" s="20" t="n">
        <f aca="false">E66+F63</f>
        <v>-19759527.0001379</v>
      </c>
      <c r="G66" s="20" t="n">
        <f aca="false">F66+G63</f>
        <v>-12764632.5899558</v>
      </c>
      <c r="H66" s="20" t="n">
        <f aca="false">G66+H63</f>
        <v>-5765328.97784917</v>
      </c>
      <c r="I66" s="20" t="n">
        <f aca="false">H66+I63</f>
        <v>1237383.72997644</v>
      </c>
      <c r="J66" s="20" t="n">
        <f aca="false">I66+J63</f>
        <v>8242475.62534949</v>
      </c>
      <c r="K66" s="20" t="n">
        <f aca="false">J66+K63</f>
        <v>15248886.2796774</v>
      </c>
      <c r="L66" s="20" t="n">
        <f aca="false">K66+L63</f>
        <v>22255524.0088306</v>
      </c>
      <c r="M66" s="20" t="n">
        <f aca="false">L66+M63</f>
        <v>29261265.1209791</v>
      </c>
      <c r="N66" s="20" t="n">
        <f aca="false">M66+N63</f>
        <v>36264953.1469884</v>
      </c>
      <c r="O66" s="20" t="n">
        <f aca="false">N66+O63</f>
        <v>42850219.1578157</v>
      </c>
      <c r="P66" s="20" t="n">
        <f aca="false">O66+P63</f>
        <v>49431359.4429145</v>
      </c>
      <c r="Q66" s="20" t="n">
        <f aca="false">P66+Q63</f>
        <v>54657211.3281339</v>
      </c>
      <c r="R66" s="20" t="n">
        <f aca="false">Q66+R63</f>
        <v>61226578.8739803</v>
      </c>
      <c r="S66" s="20" t="n">
        <f aca="false">R66+S63</f>
        <v>67788232.0789523</v>
      </c>
      <c r="T66" s="20" t="n">
        <f aca="false">S66+T63</f>
        <v>74340906.0644051</v>
      </c>
      <c r="U66" s="20" t="n">
        <f aca="false">T66+U63</f>
        <v>80883300.2405115</v>
      </c>
      <c r="V66" s="20" t="n">
        <f aca="false">U66+V63</f>
        <v>87414077.4528855</v>
      </c>
      <c r="W66" s="20" t="n">
        <f aca="false">V66+W63</f>
        <v>93931863.1094171</v>
      </c>
      <c r="X66" s="20" t="n">
        <f aca="false">W66+X63</f>
        <v>100435244.28686</v>
      </c>
      <c r="Y66" s="20" t="n">
        <f aca="false">X66+Y63</f>
        <v>106761547.436705</v>
      </c>
      <c r="Z66" s="20" t="n">
        <f aca="false">Y66+Z63</f>
        <v>113070501.589851</v>
      </c>
      <c r="AA66" s="20" t="n">
        <f aca="false">Z66+AA63</f>
        <v>119360573.259596</v>
      </c>
      <c r="AB66" s="20" t="n">
        <f aca="false">AA66+AB63</f>
        <v>125630186.842426</v>
      </c>
      <c r="AC66" s="20" t="n">
        <f aca="false">AB66+AC63</f>
        <v>133593954.622173</v>
      </c>
    </row>
    <row r="67" customFormat="false" ht="15" hidden="false" customHeight="false" outlineLevel="0" collapsed="false">
      <c r="A67" s="2" t="s">
        <v>376</v>
      </c>
      <c r="B67" s="2" t="s">
        <v>136</v>
      </c>
      <c r="D67" s="23" t="n">
        <v>0</v>
      </c>
      <c r="E67" s="23" t="n">
        <f aca="false">IF(AND(D66&lt;0,E66&gt;=0),(1-1)+(-D66)/E63,0)</f>
        <v>0</v>
      </c>
      <c r="F67" s="23" t="n">
        <f aca="false">IF(AND(E66&lt;0,F66&gt;=0),(2-1)+(-E66)/F63,0)</f>
        <v>0</v>
      </c>
      <c r="G67" s="23" t="n">
        <f aca="false">IF(AND(F66&lt;0,G66&gt;=0),(3-1)+(-F66)/G63,0)</f>
        <v>0</v>
      </c>
      <c r="H67" s="23" t="n">
        <f aca="false">IF(AND(G66&lt;0,H66&gt;=0),(4-1)+(-G66)/H63,0)</f>
        <v>0</v>
      </c>
      <c r="I67" s="23" t="n">
        <f aca="false">IF(AND(H66&lt;0,I66&gt;=0),(5-1)+(-H66)/I63,0)</f>
        <v>4.82329937245696</v>
      </c>
      <c r="J67" s="23" t="n">
        <f aca="false">IF(AND(I66&lt;0,J66&gt;=0),(6-1)+(-I66)/J63,0)</f>
        <v>0</v>
      </c>
      <c r="K67" s="23" t="n">
        <f aca="false">IF(AND(J66&lt;0,K66&gt;=0),(7-1)+(-J66)/K63,0)</f>
        <v>0</v>
      </c>
      <c r="L67" s="23" t="n">
        <f aca="false">IF(AND(K66&lt;0,L66&gt;=0),(8-1)+(-K66)/L63,0)</f>
        <v>0</v>
      </c>
      <c r="M67" s="23" t="n">
        <f aca="false">IF(AND(L66&lt;0,M66&gt;=0),(9-1)+(-L66)/M63,0)</f>
        <v>0</v>
      </c>
      <c r="N67" s="23" t="n">
        <f aca="false">IF(AND(M66&lt;0,N66&gt;=0),(10-1)+(-M66)/N63,0)</f>
        <v>0</v>
      </c>
      <c r="O67" s="23" t="n">
        <f aca="false">IF(AND(N66&lt;0,O66&gt;=0),(11-1)+(-N66)/O63,0)</f>
        <v>0</v>
      </c>
      <c r="P67" s="23" t="n">
        <f aca="false">IF(AND(O66&lt;0,P66&gt;=0),(12-1)+(-O66)/P63,0)</f>
        <v>0</v>
      </c>
      <c r="Q67" s="23" t="n">
        <f aca="false">IF(AND(P66&lt;0,Q66&gt;=0),(13-1)+(-P66)/Q63,0)</f>
        <v>0</v>
      </c>
      <c r="R67" s="23" t="n">
        <f aca="false">IF(AND(Q66&lt;0,R66&gt;=0),(14-1)+(-Q66)/R63,0)</f>
        <v>0</v>
      </c>
      <c r="S67" s="23" t="n">
        <f aca="false">IF(AND(R66&lt;0,S66&gt;=0),(15-1)+(-R66)/S63,0)</f>
        <v>0</v>
      </c>
      <c r="T67" s="23" t="n">
        <f aca="false">IF(AND(S66&lt;0,T66&gt;=0),(16-1)+(-S66)/T63,0)</f>
        <v>0</v>
      </c>
      <c r="U67" s="23" t="n">
        <f aca="false">IF(AND(T66&lt;0,U66&gt;=0),(17-1)+(-T66)/U63,0)</f>
        <v>0</v>
      </c>
      <c r="V67" s="23" t="n">
        <f aca="false">IF(AND(U66&lt;0,V66&gt;=0),(18-1)+(-U66)/V63,0)</f>
        <v>0</v>
      </c>
      <c r="W67" s="23" t="n">
        <f aca="false">IF(AND(V66&lt;0,W66&gt;=0),(19-1)+(-V66)/W63,0)</f>
        <v>0</v>
      </c>
      <c r="X67" s="23" t="n">
        <f aca="false">IF(AND(W66&lt;0,X66&gt;=0),(20-1)+(-W66)/X63,0)</f>
        <v>0</v>
      </c>
      <c r="Y67" s="23" t="n">
        <f aca="false">IF(AND(X66&lt;0,Y66&gt;=0),(21-1)+(-X66)/Y63,0)</f>
        <v>0</v>
      </c>
      <c r="Z67" s="23" t="n">
        <f aca="false">IF(AND(Y66&lt;0,Z66&gt;=0),(22-1)+(-Y66)/Z63,0)</f>
        <v>0</v>
      </c>
      <c r="AA67" s="23" t="n">
        <f aca="false">IF(AND(Z66&lt;0,AA66&gt;=0),(23-1)+(-Z66)/AA63,0)</f>
        <v>0</v>
      </c>
      <c r="AB67" s="23" t="n">
        <f aca="false">IF(AND(AA66&lt;0,AB66&gt;=0),(24-1)+(-AA66)/AB63,0)</f>
        <v>0</v>
      </c>
      <c r="AC67" s="23" t="n">
        <f aca="false">IF(AND(AB66&lt;0,AC66&gt;=0),(25-1)+(-AB66)/AC63,0)</f>
        <v>0</v>
      </c>
    </row>
    <row r="68" customFormat="false" ht="15" hidden="false" customHeight="false" outlineLevel="0" collapsed="false">
      <c r="A68" s="2" t="s">
        <v>377</v>
      </c>
      <c r="B68" s="2" t="s">
        <v>74</v>
      </c>
      <c r="D68" s="20" t="n">
        <f aca="false">D60</f>
        <v>-13446740.8280076</v>
      </c>
      <c r="E68" s="20" t="n">
        <f aca="false">D68+E60</f>
        <v>-10805243.9971115</v>
      </c>
      <c r="F68" s="20" t="n">
        <f aca="false">E68+F60</f>
        <v>-6671787.53155073</v>
      </c>
      <c r="G68" s="20" t="n">
        <f aca="false">F68+G60</f>
        <v>-2535493.55663653</v>
      </c>
      <c r="H68" s="20" t="n">
        <f aca="false">G68+H60</f>
        <v>1602422.56784767</v>
      </c>
      <c r="I68" s="20" t="n">
        <f aca="false">H68+I60</f>
        <v>5740692.89996494</v>
      </c>
      <c r="J68" s="20" t="n">
        <f aca="false">I68+J60</f>
        <v>9877993.95679873</v>
      </c>
      <c r="K68" s="20" t="n">
        <f aca="false">J68+K60</f>
        <v>14012943.5224784</v>
      </c>
      <c r="L68" s="20" t="n">
        <f aca="false">K68+L60</f>
        <v>18144097.2018388</v>
      </c>
      <c r="M68" s="20" t="n">
        <f aca="false">L68+M60</f>
        <v>22269944.6964842</v>
      </c>
      <c r="N68" s="20" t="n">
        <f aca="false">M68+N60</f>
        <v>26388905.7778229</v>
      </c>
      <c r="O68" s="20" t="n">
        <f aca="false">N68+O60</f>
        <v>30125809.908734</v>
      </c>
      <c r="P68" s="20" t="n">
        <f aca="false">O68+P60</f>
        <v>33835360.596155</v>
      </c>
      <c r="Q68" s="20" t="n">
        <f aca="false">P68+Q60</f>
        <v>39068075.3617245</v>
      </c>
      <c r="R68" s="20" t="n">
        <f aca="false">Q68+R60</f>
        <v>45644305.7879209</v>
      </c>
      <c r="S68" s="20" t="n">
        <f aca="false">R68+S60</f>
        <v>52212821.8732431</v>
      </c>
      <c r="T68" s="20" t="n">
        <f aca="false">S68+T60</f>
        <v>58772358.7390459</v>
      </c>
      <c r="U68" s="20" t="n">
        <f aca="false">T68+U60</f>
        <v>65321615.7955024</v>
      </c>
      <c r="V68" s="20" t="n">
        <f aca="false">U68+V60</f>
        <v>71859255.8882266</v>
      </c>
      <c r="W68" s="20" t="n">
        <f aca="false">V68+W60</f>
        <v>78383904.4251083</v>
      </c>
      <c r="X68" s="20" t="n">
        <f aca="false">W68+X60</f>
        <v>84894148.4829015</v>
      </c>
      <c r="Y68" s="20" t="n">
        <f aca="false">X68+Y60</f>
        <v>91220451.6327462</v>
      </c>
      <c r="Z68" s="20" t="n">
        <f aca="false">Y68+Z60</f>
        <v>97529405.7858927</v>
      </c>
      <c r="AA68" s="20" t="n">
        <f aca="false">Z68+AA60</f>
        <v>103819477.455638</v>
      </c>
      <c r="AB68" s="20" t="n">
        <f aca="false">AA68+AB60</f>
        <v>110089091.038467</v>
      </c>
      <c r="AC68" s="20" t="n">
        <f aca="false">AB68+AC60</f>
        <v>118052858.818214</v>
      </c>
    </row>
    <row r="69" customFormat="false" ht="15" hidden="false" customHeight="false" outlineLevel="0" collapsed="false">
      <c r="A69" s="2" t="s">
        <v>378</v>
      </c>
      <c r="B69" s="2" t="s">
        <v>136</v>
      </c>
      <c r="D69" s="23" t="n">
        <v>0</v>
      </c>
      <c r="E69" s="23" t="n">
        <f aca="false">IF(AND(D68&lt;0,E68&gt;=0),(1-1)+(-D68)/E60,0)</f>
        <v>0</v>
      </c>
      <c r="F69" s="23" t="n">
        <f aca="false">IF(AND(E68&lt;0,F68&gt;=0),(2-1)+(-E68)/F60,0)</f>
        <v>0</v>
      </c>
      <c r="G69" s="23" t="n">
        <f aca="false">IF(AND(F68&lt;0,G68&gt;=0),(3-1)+(-F68)/G60,0)</f>
        <v>0</v>
      </c>
      <c r="H69" s="23" t="n">
        <f aca="false">IF(AND(G68&lt;0,H68&gt;=0),(4-1)+(-G68)/H60,0)</f>
        <v>3.61274648406572</v>
      </c>
      <c r="I69" s="23" t="n">
        <f aca="false">IF(AND(H68&lt;0,I68&gt;=0),(5-1)+(-H68)/I60,0)</f>
        <v>0</v>
      </c>
      <c r="J69" s="23" t="n">
        <f aca="false">IF(AND(I68&lt;0,J68&gt;=0),(6-1)+(-I68)/J60,0)</f>
        <v>0</v>
      </c>
      <c r="K69" s="23" t="n">
        <f aca="false">IF(AND(J68&lt;0,K68&gt;=0),(7-1)+(-J68)/K60,0)</f>
        <v>0</v>
      </c>
      <c r="L69" s="23" t="n">
        <f aca="false">IF(AND(K68&lt;0,L68&gt;=0),(8-1)+(-K68)/L60,0)</f>
        <v>0</v>
      </c>
      <c r="M69" s="23" t="n">
        <f aca="false">IF(AND(L68&lt;0,M68&gt;=0),(9-1)+(-L68)/M60,0)</f>
        <v>0</v>
      </c>
      <c r="N69" s="23" t="n">
        <f aca="false">IF(AND(M68&lt;0,N68&gt;=0),(10-1)+(-M68)/N60,0)</f>
        <v>0</v>
      </c>
      <c r="O69" s="23" t="n">
        <f aca="false">IF(AND(N68&lt;0,O68&gt;=0),(11-1)+(-N68)/O60,0)</f>
        <v>0</v>
      </c>
      <c r="P69" s="23" t="n">
        <f aca="false">IF(AND(O68&lt;0,P68&gt;=0),(12-1)+(-O68)/P60,0)</f>
        <v>0</v>
      </c>
      <c r="Q69" s="23" t="n">
        <f aca="false">IF(AND(P68&lt;0,Q68&gt;=0),(13-1)+(-P68)/Q60,0)</f>
        <v>0</v>
      </c>
      <c r="R69" s="23" t="n">
        <f aca="false">IF(AND(Q68&lt;0,R68&gt;=0),(14-1)+(-Q68)/R60,0)</f>
        <v>0</v>
      </c>
      <c r="S69" s="23" t="n">
        <f aca="false">IF(AND(R68&lt;0,S68&gt;=0),(15-1)+(-R68)/S60,0)</f>
        <v>0</v>
      </c>
      <c r="T69" s="23" t="n">
        <f aca="false">IF(AND(S68&lt;0,T68&gt;=0),(16-1)+(-S68)/T60,0)</f>
        <v>0</v>
      </c>
      <c r="U69" s="23" t="n">
        <f aca="false">IF(AND(T68&lt;0,U68&gt;=0),(17-1)+(-T68)/U60,0)</f>
        <v>0</v>
      </c>
      <c r="V69" s="23" t="n">
        <f aca="false">IF(AND(U68&lt;0,V68&gt;=0),(18-1)+(-U68)/V60,0)</f>
        <v>0</v>
      </c>
      <c r="W69" s="23" t="n">
        <f aca="false">IF(AND(V68&lt;0,W68&gt;=0),(19-1)+(-V68)/W60,0)</f>
        <v>0</v>
      </c>
      <c r="X69" s="23" t="n">
        <f aca="false">IF(AND(W68&lt;0,X68&gt;=0),(20-1)+(-W68)/X60,0)</f>
        <v>0</v>
      </c>
      <c r="Y69" s="23" t="n">
        <f aca="false">IF(AND(X68&lt;0,Y68&gt;=0),(21-1)+(-X68)/Y60,0)</f>
        <v>0</v>
      </c>
      <c r="Z69" s="23" t="n">
        <f aca="false">IF(AND(Y68&lt;0,Z68&gt;=0),(22-1)+(-Y68)/Z60,0)</f>
        <v>0</v>
      </c>
      <c r="AA69" s="23" t="n">
        <f aca="false">IF(AND(Z68&lt;0,AA68&gt;=0),(23-1)+(-Z68)/AA60,0)</f>
        <v>0</v>
      </c>
      <c r="AB69" s="23" t="n">
        <f aca="false">IF(AND(AA68&lt;0,AB68&gt;=0),(24-1)+(-AA68)/AB60,0)</f>
        <v>0</v>
      </c>
      <c r="AC69" s="23" t="n">
        <f aca="false">IF(AND(AB68&lt;0,AC68&gt;=0),(25-1)+(-AB68)/AC60,0)</f>
        <v>0</v>
      </c>
    </row>
    <row r="70" customFormat="false" ht="15" hidden="false" customHeight="false" outlineLevel="0" collapsed="false">
      <c r="A70" s="2" t="s">
        <v>379</v>
      </c>
      <c r="B70" s="2" t="s">
        <v>209</v>
      </c>
      <c r="D70" s="19" t="n">
        <v>1</v>
      </c>
      <c r="E70" s="19" t="n">
        <f aca="false">(1+x_wacc)^(-1)</f>
        <v>0.866851219291254</v>
      </c>
      <c r="F70" s="19" t="n">
        <f aca="false">(1+x_wacc)^(-2)</f>
        <v>0.751431036386733</v>
      </c>
      <c r="G70" s="19" t="n">
        <f aca="false">(1+x_wacc)^(-3)</f>
        <v>0.65137891010513</v>
      </c>
      <c r="H70" s="19" t="n">
        <f aca="false">(1+x_wacc)^(-4)</f>
        <v>0.56464860244524</v>
      </c>
      <c r="I70" s="19" t="n">
        <f aca="false">(1+x_wacc)^(-5)</f>
        <v>0.489466329500759</v>
      </c>
      <c r="J70" s="19" t="n">
        <f aca="false">(1+x_wacc)^(-6)</f>
        <v>0.424294484529747</v>
      </c>
      <c r="K70" s="19" t="n">
        <f aca="false">(1+x_wacc)^(-7)</f>
        <v>0.367800191253166</v>
      </c>
      <c r="L70" s="19" t="n">
        <f aca="false">(1+x_wacc)^(-8)</f>
        <v>0.318828044243363</v>
      </c>
      <c r="M70" s="19" t="n">
        <f aca="false">(1+x_wacc)^(-9)</f>
        <v>0.276376478896605</v>
      </c>
      <c r="N70" s="19" t="n">
        <f aca="false">(1+x_wacc)^(-10)</f>
        <v>0.239577287714945</v>
      </c>
      <c r="O70" s="19" t="n">
        <f aca="false">(1+x_wacc)^(-11)</f>
        <v>0.207677863970192</v>
      </c>
      <c r="P70" s="19" t="n">
        <f aca="false">(1+x_wacc)^(-12)</f>
        <v>0.180025809602364</v>
      </c>
      <c r="Q70" s="19" t="n">
        <f aca="false">(1+x_wacc)^(-13)</f>
        <v>0.156055592557704</v>
      </c>
      <c r="R70" s="19" t="n">
        <f aca="false">(1+x_wacc)^(-14)</f>
        <v>0.135276980685865</v>
      </c>
      <c r="S70" s="19" t="n">
        <f aca="false">(1+x_wacc)^(-15)</f>
        <v>0.117265015649582</v>
      </c>
      <c r="T70" s="19" t="n">
        <f aca="false">(1+x_wacc)^(-16)</f>
        <v>0.101651321796048</v>
      </c>
      <c r="U70" s="19" t="n">
        <f aca="false">(1+x_wacc)^(-17)</f>
        <v>0.0881165722414716</v>
      </c>
      <c r="V70" s="19" t="n">
        <f aca="false">(1+x_wacc)^(-18)</f>
        <v>0.0763839580872855</v>
      </c>
      <c r="W70" s="19" t="n">
        <f aca="false">(1+x_wacc)^(-19)</f>
        <v>0.0662135272022554</v>
      </c>
      <c r="X70" s="19" t="n">
        <f aca="false">(1+x_wacc)^(-20)</f>
        <v>0.0573972767888497</v>
      </c>
      <c r="Y70" s="19" t="n">
        <f aca="false">(1+x_wacc)^(-21)</f>
        <v>0.049754899368412</v>
      </c>
      <c r="Z70" s="19" t="n">
        <f aca="false">(1+x_wacc)^(-22)</f>
        <v>0.0431300951832215</v>
      </c>
      <c r="AA70" s="19" t="n">
        <f aca="false">(1+x_wacc)^(-23)</f>
        <v>0.0373873755977234</v>
      </c>
      <c r="AB70" s="19" t="n">
        <f aca="false">(1+x_wacc)^(-24)</f>
        <v>0.0324092921229866</v>
      </c>
      <c r="AC70" s="19" t="n">
        <f aca="false">(1+x_wacc)^(-25)</f>
        <v>0.0280940343931774</v>
      </c>
    </row>
    <row r="71" customFormat="false" ht="15" hidden="false" customHeight="false" outlineLevel="0" collapsed="false">
      <c r="A71" s="2" t="s">
        <v>380</v>
      </c>
      <c r="B71" s="2" t="s">
        <v>74</v>
      </c>
      <c r="E71" s="20" t="n">
        <f aca="false">(E33+E35)*E70</f>
        <v>1712461.49499381</v>
      </c>
      <c r="F71" s="20" t="n">
        <f aca="false">(F33+F35)*F70</f>
        <v>1520054.77142934</v>
      </c>
      <c r="G71" s="20" t="n">
        <f aca="false">(G33+G35)*G70</f>
        <v>1349264.93090535</v>
      </c>
      <c r="H71" s="20" t="n">
        <f aca="false">(H33+H35)*H70</f>
        <v>1197663.46444917</v>
      </c>
      <c r="I71" s="20" t="n">
        <f aca="false">(I33+I35)*I70</f>
        <v>1063094.67326375</v>
      </c>
      <c r="J71" s="20" t="n">
        <f aca="false">(J33+J35)*J70</f>
        <v>943645.023981771</v>
      </c>
      <c r="K71" s="20" t="n">
        <f aca="false">(K33+K35)*K70</f>
        <v>837615.946043528</v>
      </c>
      <c r="L71" s="20" t="n">
        <f aca="false">(L33+L35)*L70</f>
        <v>743499.684589174</v>
      </c>
      <c r="M71" s="20" t="n">
        <f aca="false">(M33+M35)*M70</f>
        <v>659957.865676478</v>
      </c>
      <c r="N71" s="20" t="n">
        <f aca="false">(N33+N35)*N70</f>
        <v>585802.469179297</v>
      </c>
      <c r="O71" s="20" t="n">
        <f aca="false">(O33+O35)*O70</f>
        <v>519978.938937341</v>
      </c>
      <c r="P71" s="20" t="n">
        <f aca="false">(P33+P35)*P70</f>
        <v>461551.190100588</v>
      </c>
      <c r="Q71" s="20" t="n">
        <f aca="false">(Q33+Q35)*Q70</f>
        <v>643771.689409982</v>
      </c>
      <c r="R71" s="20" t="n">
        <f aca="false">(R33+R35)*R70</f>
        <v>363652.697397285</v>
      </c>
      <c r="S71" s="20" t="n">
        <f aca="false">(S33+S35)*S70</f>
        <v>322789.670156286</v>
      </c>
      <c r="T71" s="20" t="n">
        <f aca="false">(T33+T35)*T70</f>
        <v>286518.062350043</v>
      </c>
      <c r="U71" s="20" t="n">
        <f aca="false">(U33+U35)*U70</f>
        <v>254322.008419329</v>
      </c>
      <c r="V71" s="20" t="n">
        <f aca="false">(V33+V35)*V70</f>
        <v>225743.598971529</v>
      </c>
      <c r="W71" s="20" t="n">
        <f aca="false">(W33+W35)*W70</f>
        <v>200376.369945022</v>
      </c>
      <c r="X71" s="20" t="n">
        <f aca="false">(X33+X35)*X70</f>
        <v>177859.523162123</v>
      </c>
      <c r="Y71" s="20" t="n">
        <f aca="false">(Y33+Y35)*Y70</f>
        <v>157872.796115533</v>
      </c>
      <c r="Z71" s="20" t="n">
        <f aca="false">(Z33+Z35)*Z70</f>
        <v>140131.908060971</v>
      </c>
      <c r="AA71" s="20" t="n">
        <f aca="false">(AA33+AA35)*AA70</f>
        <v>124384.517680003</v>
      </c>
      <c r="AB71" s="20" t="n">
        <f aca="false">(AB33+AB35)*AB70</f>
        <v>110406.634848396</v>
      </c>
      <c r="AC71" s="20" t="n">
        <f aca="false">(AC33+AC35)*AC70</f>
        <v>97999.4354999813</v>
      </c>
    </row>
    <row r="72" customFormat="false" ht="15" hidden="false" customHeight="false" outlineLevel="0" collapsed="false">
      <c r="A72" s="2" t="s">
        <v>381</v>
      </c>
      <c r="B72" s="2" t="s">
        <v>382</v>
      </c>
      <c r="E72" s="20" t="n">
        <f aca="false">E14*1000*E70</f>
        <v>83888640.9843809</v>
      </c>
      <c r="F72" s="20" t="n">
        <f aca="false">F14*1000*F70</f>
        <v>72425156.6988777</v>
      </c>
      <c r="G72" s="20" t="n">
        <f aca="false">G14*1000*G70</f>
        <v>62527142.3475965</v>
      </c>
      <c r="H72" s="20" t="n">
        <f aca="false">H14*1000*H70</f>
        <v>53980948.6069144</v>
      </c>
      <c r="I72" s="20" t="n">
        <f aca="false">I14*1000*I70</f>
        <v>46602066.8602493</v>
      </c>
      <c r="J72" s="20" t="n">
        <f aca="false">J14*1000*J70</f>
        <v>40231156.8017666</v>
      </c>
      <c r="K72" s="20" t="n">
        <f aca="false">K14*1000*K70</f>
        <v>34730615.255657</v>
      </c>
      <c r="L72" s="20" t="n">
        <f aca="false">L14*1000*L70</f>
        <v>29981612.5116147</v>
      </c>
      <c r="M72" s="20" t="n">
        <f aca="false">M14*1000*M70</f>
        <v>25881532.508115</v>
      </c>
      <c r="N72" s="20" t="n">
        <f aca="false">N14*1000*N70</f>
        <v>22341761.8614234</v>
      </c>
      <c r="O72" s="20" t="n">
        <f aca="false">O14*1000*O70</f>
        <v>19285780.2255295</v>
      </c>
      <c r="P72" s="20" t="n">
        <f aca="false">P14*1000*P70</f>
        <v>16647510.9367319</v>
      </c>
      <c r="Q72" s="20" t="n">
        <f aca="false">Q14*1000*Q70</f>
        <v>14369896.4849447</v>
      </c>
      <c r="R72" s="20" t="n">
        <f aca="false">R14*1000*R70</f>
        <v>12403668.1816788</v>
      </c>
      <c r="S72" s="20" t="n">
        <f aca="false">S14*1000*S70</f>
        <v>10706283.5654928</v>
      </c>
      <c r="T72" s="20" t="n">
        <f aca="false">T14*1000*T70</f>
        <v>9241008.68889461</v>
      </c>
      <c r="U72" s="20" t="n">
        <f aca="false">U14*1000*U70</f>
        <v>7976125.54343023</v>
      </c>
      <c r="V72" s="20" t="n">
        <f aca="false">V14*1000*V70</f>
        <v>6884247.56873033</v>
      </c>
      <c r="W72" s="20" t="n">
        <f aca="false">W14*1000*W70</f>
        <v>5941728.514263</v>
      </c>
      <c r="X72" s="20" t="n">
        <f aca="false">X14*1000*X70</f>
        <v>5128151.9292591</v>
      </c>
      <c r="Y72" s="20" t="n">
        <f aca="false">Y14*1000*Y70</f>
        <v>4425890.28977684</v>
      </c>
      <c r="Z72" s="20" t="n">
        <f aca="false">Z14*1000*Z70</f>
        <v>3819724.26933295</v>
      </c>
      <c r="AA72" s="20" t="n">
        <f aca="false">AA14*1000*AA70</f>
        <v>3296513.95307434</v>
      </c>
      <c r="AB72" s="20" t="n">
        <f aca="false">AB14*1000*AB70</f>
        <v>2844914.91284983</v>
      </c>
      <c r="AC72" s="20" t="n">
        <f aca="false">AC14*1000*AC70</f>
        <v>2455133.02574551</v>
      </c>
    </row>
    <row r="73" customFormat="false" ht="15" hidden="false" customHeight="false" outlineLevel="0" collapsed="false">
      <c r="A73" s="2" t="s">
        <v>383</v>
      </c>
      <c r="B73" s="2" t="s">
        <v>209</v>
      </c>
      <c r="E73" s="19" t="n">
        <f aca="false">1.08^(-1)</f>
        <v>0.925925925925926</v>
      </c>
      <c r="F73" s="19" t="n">
        <f aca="false">1.08^(-2)</f>
        <v>0.857338820301783</v>
      </c>
      <c r="G73" s="19" t="n">
        <f aca="false">1.08^(-3)</f>
        <v>0.79383224102017</v>
      </c>
      <c r="H73" s="19" t="n">
        <f aca="false">1.08^(-4)</f>
        <v>0.735029852796453</v>
      </c>
      <c r="I73" s="19" t="n">
        <f aca="false">1.08^(-5)</f>
        <v>0.680583197033753</v>
      </c>
      <c r="J73" s="19" t="n">
        <f aca="false">1.08^(-6)</f>
        <v>0.630169626883105</v>
      </c>
      <c r="K73" s="19" t="n">
        <f aca="false">1.08^(-7)</f>
        <v>0.583490395262134</v>
      </c>
      <c r="L73" s="19" t="n">
        <f aca="false">1.08^(-8)</f>
        <v>0.540268884501976</v>
      </c>
      <c r="M73" s="19" t="n">
        <f aca="false">1.08^(-9)</f>
        <v>0.500248967131459</v>
      </c>
      <c r="N73" s="19" t="n">
        <f aca="false">1.08^(-10)</f>
        <v>0.463193488084684</v>
      </c>
      <c r="O73" s="19" t="n">
        <f aca="false">1.08^(-11)</f>
        <v>0.428882859337671</v>
      </c>
      <c r="P73" s="19" t="n">
        <f aca="false">1.08^(-12)</f>
        <v>0.397113758645991</v>
      </c>
      <c r="Q73" s="19" t="n">
        <f aca="false">1.08^(-13)</f>
        <v>0.367697924672214</v>
      </c>
      <c r="R73" s="19" t="n">
        <f aca="false">1.08^(-14)</f>
        <v>0.340461041363161</v>
      </c>
      <c r="S73" s="19" t="n">
        <f aca="false">1.08^(-15)</f>
        <v>0.31524170496589</v>
      </c>
      <c r="T73" s="19" t="n">
        <f aca="false">1.08^(-16)</f>
        <v>0.291890467561009</v>
      </c>
      <c r="U73" s="19" t="n">
        <f aca="false">1.08^(-17)</f>
        <v>0.270268951445379</v>
      </c>
      <c r="V73" s="19" t="n">
        <f aca="false">1.08^(-18)</f>
        <v>0.250249029116092</v>
      </c>
      <c r="W73" s="19" t="n">
        <f aca="false">1.08^(-19)</f>
        <v>0.231712063996381</v>
      </c>
      <c r="X73" s="19" t="n">
        <f aca="false">1.08^(-20)</f>
        <v>0.214548207404056</v>
      </c>
      <c r="Y73" s="19" t="n">
        <f aca="false">1.08^(-21)</f>
        <v>0.198655747596349</v>
      </c>
      <c r="Z73" s="19" t="n">
        <f aca="false">1.08^(-22)</f>
        <v>0.183940507033656</v>
      </c>
      <c r="AA73" s="19" t="n">
        <f aca="false">1.08^(-23)</f>
        <v>0.170315284290422</v>
      </c>
      <c r="AB73" s="19" t="n">
        <f aca="false">1.08^(-24)</f>
        <v>0.157699337305947</v>
      </c>
      <c r="AC73" s="19" t="n">
        <f aca="false">1.08^(-25)</f>
        <v>0.146017904912913</v>
      </c>
    </row>
    <row r="74" customFormat="false" ht="15" hidden="false" customHeight="false" outlineLevel="0" collapsed="false">
      <c r="A74" s="2" t="s">
        <v>384</v>
      </c>
      <c r="B74" s="2" t="s">
        <v>74</v>
      </c>
      <c r="E74" s="20" t="n">
        <f aca="false">(E33+E35)*E73</f>
        <v>1829163.36745889</v>
      </c>
      <c r="F74" s="20" t="n">
        <f aca="false">(F33+F35)*F73</f>
        <v>1734293.50323057</v>
      </c>
      <c r="G74" s="20" t="n">
        <f aca="false">(G33+G35)*G73</f>
        <v>1644342.46674895</v>
      </c>
      <c r="H74" s="20" t="n">
        <f aca="false">(H33+H35)*H73</f>
        <v>1559055.30654198</v>
      </c>
      <c r="I74" s="20" t="n">
        <f aca="false">(I33+I35)*I73</f>
        <v>1478190.28168366</v>
      </c>
      <c r="J74" s="20" t="n">
        <f aca="false">(J33+J35)*J73</f>
        <v>1401518.17747939</v>
      </c>
      <c r="K74" s="20" t="n">
        <f aca="false">(K33+K35)*K73</f>
        <v>1328821.65658906</v>
      </c>
      <c r="L74" s="20" t="n">
        <f aca="false">(L33+L35)*L73</f>
        <v>1259894.64375333</v>
      </c>
      <c r="M74" s="20" t="n">
        <f aca="false">(M33+M35)*M73</f>
        <v>1194541.7423834</v>
      </c>
      <c r="N74" s="20" t="n">
        <f aca="false">(N33+N35)*N73</f>
        <v>1132577.68136446</v>
      </c>
      <c r="O74" s="20" t="n">
        <f aca="false">(O33+O35)*O73</f>
        <v>1073826.79050871</v>
      </c>
      <c r="P74" s="20" t="n">
        <f aca="false">(P33+P35)*P73</f>
        <v>1018122.5031745</v>
      </c>
      <c r="Q74" s="20" t="n">
        <f aca="false">(Q33+Q35)*Q73</f>
        <v>1516853.7716535</v>
      </c>
      <c r="R74" s="20" t="n">
        <f aca="false">(R33+R35)*R73</f>
        <v>915230.18493374</v>
      </c>
      <c r="S74" s="20" t="n">
        <f aca="false">(S33+S35)*S73</f>
        <v>867750.414748765</v>
      </c>
      <c r="T74" s="20" t="n">
        <f aca="false">(T33+T35)*T73</f>
        <v>822732.943422287</v>
      </c>
      <c r="U74" s="20" t="n">
        <f aca="false">(U33+U35)*U73</f>
        <v>780050.117662485</v>
      </c>
      <c r="V74" s="20" t="n">
        <f aca="false">(V33+V35)*V73</f>
        <v>739580.900052898</v>
      </c>
      <c r="W74" s="20" t="n">
        <f aca="false">(W33+W35)*W73</f>
        <v>701210.526275694</v>
      </c>
      <c r="X74" s="20" t="n">
        <f aca="false">(X33+X35)*X73</f>
        <v>664830.180089429</v>
      </c>
      <c r="Y74" s="20" t="n">
        <f aca="false">(Y33+Y35)*Y73</f>
        <v>630336.685141971</v>
      </c>
      <c r="Z74" s="20" t="n">
        <f aca="false">(Z33+Z35)*Z73</f>
        <v>597632.2127468</v>
      </c>
      <c r="AA74" s="20" t="n">
        <f aca="false">(AA33+AA35)*AA73</f>
        <v>566624.004796066</v>
      </c>
      <c r="AB74" s="20" t="n">
        <f aca="false">(AB33+AB35)*AB73</f>
        <v>537224.111026563</v>
      </c>
      <c r="AC74" s="20" t="n">
        <f aca="false">(AC33+AC35)*AC73</f>
        <v>509349.139895357</v>
      </c>
    </row>
    <row r="75" customFormat="false" ht="15" hidden="false" customHeight="false" outlineLevel="0" collapsed="false">
      <c r="A75" s="2" t="s">
        <v>385</v>
      </c>
      <c r="B75" s="2" t="s">
        <v>382</v>
      </c>
      <c r="E75" s="20" t="n">
        <f aca="false">E14*1000*E73</f>
        <v>89605535.3554651</v>
      </c>
      <c r="F75" s="20" t="n">
        <f aca="false">F14*1000*F73</f>
        <v>82632863.6929373</v>
      </c>
      <c r="G75" s="20" t="n">
        <f aca="false">G14*1000*G73</f>
        <v>76201517.6794235</v>
      </c>
      <c r="H75" s="20" t="n">
        <f aca="false">H14*1000*H73</f>
        <v>70269559.751901</v>
      </c>
      <c r="I75" s="20" t="n">
        <f aca="false">I14*1000*I73</f>
        <v>64798295.0828899</v>
      </c>
      <c r="J75" s="20" t="n">
        <f aca="false">J14*1000*J73</f>
        <v>59752021.2852718</v>
      </c>
      <c r="K75" s="20" t="n">
        <f aca="false">K14*1000*K73</f>
        <v>55097797.4050903</v>
      </c>
      <c r="L75" s="20" t="n">
        <f aca="false">L14*1000*L73</f>
        <v>50805230.7182126</v>
      </c>
      <c r="M75" s="20" t="n">
        <f aca="false">M14*1000*M73</f>
        <v>46846279.9607759</v>
      </c>
      <c r="N75" s="20" t="n">
        <f aca="false">N14*1000*N73</f>
        <v>43195073.7286207</v>
      </c>
      <c r="O75" s="20" t="n">
        <f aca="false">O14*1000*O73</f>
        <v>39827742.878125</v>
      </c>
      <c r="P75" s="20" t="n">
        <f aca="false">P14*1000*P73</f>
        <v>36722265.8505908</v>
      </c>
      <c r="Q75" s="20" t="n">
        <f aca="false">Q14*1000*Q73</f>
        <v>33858325.9251983</v>
      </c>
      <c r="R75" s="20" t="n">
        <f aca="false">R14*1000*R73</f>
        <v>31217179.482028</v>
      </c>
      <c r="S75" s="20" t="n">
        <f aca="false">S14*1000*S73</f>
        <v>28781534.4272824</v>
      </c>
      <c r="T75" s="20" t="n">
        <f aca="false">T14*1000*T73</f>
        <v>26535437.9980298</v>
      </c>
      <c r="U75" s="20" t="n">
        <f aca="false">U14*1000*U73</f>
        <v>24464173.22399</v>
      </c>
      <c r="V75" s="20" t="n">
        <f aca="false">V14*1000*V73</f>
        <v>22554163.3794484</v>
      </c>
      <c r="W75" s="20" t="n">
        <f aca="false">W14*1000*W73</f>
        <v>20792883.8096867</v>
      </c>
      <c r="X75" s="20" t="n">
        <f aca="false">X14*1000*X73</f>
        <v>19168780.5636788</v>
      </c>
      <c r="Y75" s="20" t="n">
        <f aca="false">Y14*1000*Y73</f>
        <v>17671195.3085214</v>
      </c>
      <c r="Z75" s="20" t="n">
        <f aca="false">Z14*1000*Z73</f>
        <v>16290296.0414331</v>
      </c>
      <c r="AA75" s="20" t="n">
        <f aca="false">AA14*1000*AA73</f>
        <v>15017013.1524125</v>
      </c>
      <c r="AB75" s="20" t="n">
        <f aca="false">AB14*1000*AB73</f>
        <v>13842980.4250497</v>
      </c>
      <c r="AC75" s="20" t="n">
        <f aca="false">AC14*1000*AC73</f>
        <v>12760480.5947316</v>
      </c>
    </row>
    <row r="76" customFormat="false" ht="15" hidden="false" customHeight="false" outlineLevel="0" collapsed="false">
      <c r="A76" s="2" t="s">
        <v>386</v>
      </c>
      <c r="B76" s="2" t="s">
        <v>74</v>
      </c>
      <c r="E76" s="20" t="n">
        <f aca="false">IF(1&lt;=in_tenor,E58/(1+x_kd)^1,0)</f>
        <v>5059218.32895027</v>
      </c>
      <c r="F76" s="20" t="n">
        <f aca="false">IF(2&lt;=in_tenor,F58/(1+x_kd)^2,0)</f>
        <v>5857468.45643643</v>
      </c>
      <c r="G76" s="20" t="n">
        <f aca="false">IF(3&lt;=in_tenor,G58/(1+x_kd)^3,0)</f>
        <v>5346072.64197789</v>
      </c>
      <c r="H76" s="20" t="n">
        <f aca="false">IF(4&lt;=in_tenor,H58/(1+x_kd)^4,0)</f>
        <v>4878482.29398734</v>
      </c>
      <c r="I76" s="20" t="n">
        <f aca="false">IF(5&lt;=in_tenor,I58/(1+x_kd)^5,0)</f>
        <v>4450987.76040676</v>
      </c>
      <c r="J76" s="20" t="n">
        <f aca="false">IF(6&lt;=in_tenor,J58/(1+x_kd)^6,0)</f>
        <v>4060190.79759394</v>
      </c>
      <c r="K76" s="20" t="n">
        <f aca="false">IF(7&lt;=in_tenor,K58/(1+x_kd)^7,0)</f>
        <v>3702978.6077382</v>
      </c>
      <c r="L76" s="20" t="n">
        <f aca="false">IF(8&lt;=in_tenor,L58/(1+x_kd)^8,0)</f>
        <v>3376500.02903217</v>
      </c>
      <c r="M76" s="20" t="n">
        <f aca="false">IF(9&lt;=in_tenor,M58/(1+x_kd)^9,0)</f>
        <v>3078143.70088253</v>
      </c>
      <c r="N76" s="20" t="n">
        <f aca="false">IF(10&lt;=in_tenor,N58/(1+x_kd)^10,0)</f>
        <v>2805518.04106097</v>
      </c>
      <c r="O76" s="20" t="n">
        <f aca="false">IF(11&lt;=in_tenor,O58/(1+x_kd)^11,0)</f>
        <v>2420301.80868179</v>
      </c>
      <c r="P76" s="20" t="n">
        <f aca="false">IF(12&lt;=in_tenor,P58/(1+x_kd)^12,0)</f>
        <v>2199007.95053832</v>
      </c>
      <c r="Q76" s="20" t="n">
        <f aca="false">IF(13&lt;=in_tenor,Q58/(1+x_kd)^13,0)</f>
        <v>0</v>
      </c>
      <c r="R76" s="20" t="n">
        <f aca="false">IF(14&lt;=in_tenor,R58/(1+x_kd)^14,0)</f>
        <v>0</v>
      </c>
      <c r="S76" s="20" t="n">
        <f aca="false">IF(15&lt;=in_tenor,S58/(1+x_kd)^15,0)</f>
        <v>0</v>
      </c>
      <c r="T76" s="20" t="n">
        <f aca="false">IF(16&lt;=in_tenor,T58/(1+x_kd)^16,0)</f>
        <v>0</v>
      </c>
      <c r="U76" s="20" t="n">
        <f aca="false">IF(17&lt;=in_tenor,U58/(1+x_kd)^17,0)</f>
        <v>0</v>
      </c>
      <c r="V76" s="20" t="n">
        <f aca="false">IF(18&lt;=in_tenor,V58/(1+x_kd)^18,0)</f>
        <v>0</v>
      </c>
      <c r="W76" s="20" t="n">
        <f aca="false">IF(19&lt;=in_tenor,W58/(1+x_kd)^19,0)</f>
        <v>0</v>
      </c>
      <c r="X76" s="20" t="n">
        <f aca="false">IF(20&lt;=in_tenor,X58/(1+x_kd)^20,0)</f>
        <v>0</v>
      </c>
      <c r="Y76" s="20" t="n">
        <f aca="false">IF(21&lt;=in_tenor,Y58/(1+x_kd)^21,0)</f>
        <v>0</v>
      </c>
      <c r="Z76" s="20" t="n">
        <f aca="false">IF(22&lt;=in_tenor,Z58/(1+x_kd)^22,0)</f>
        <v>0</v>
      </c>
      <c r="AA76" s="20" t="n">
        <f aca="false">IF(23&lt;=in_tenor,AA58/(1+x_kd)^23,0)</f>
        <v>0</v>
      </c>
      <c r="AB76" s="20" t="n">
        <f aca="false">IF(24&lt;=in_tenor,AB58/(1+x_kd)^24,0)</f>
        <v>0</v>
      </c>
      <c r="AC76" s="20" t="n">
        <f aca="false">IF(25&lt;=in_tenor,AC58/(1+x_kd)^25,0)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387</v>
      </c>
      <c r="B1" s="4" t="s">
        <v>15</v>
      </c>
      <c r="C1" s="4" t="s">
        <v>388</v>
      </c>
    </row>
    <row r="2" customFormat="false" ht="15" hidden="false" customHeight="false" outlineLevel="0" collapsed="false">
      <c r="A2" s="0" t="s">
        <v>389</v>
      </c>
      <c r="B2" s="13" t="n">
        <f aca="false">in_ust10+in_beta*in_mature_erp+in_crp_syria</f>
        <v>0.243455</v>
      </c>
      <c r="C2" s="0" t="s">
        <v>390</v>
      </c>
    </row>
    <row r="3" customFormat="false" ht="15" hidden="false" customHeight="false" outlineLevel="0" collapsed="false">
      <c r="A3" s="0" t="s">
        <v>391</v>
      </c>
      <c r="B3" s="13" t="n">
        <f aca="false">(1-in_gearing)*x_ke+in_gearing*x_kd*(1-in_cit*(1-in_tax_relief))</f>
        <v>0.1536005</v>
      </c>
      <c r="C3" s="0" t="s">
        <v>392</v>
      </c>
    </row>
    <row r="4" customFormat="false" ht="15" hidden="false" customHeight="false" outlineLevel="0" collapsed="false">
      <c r="A4" s="0" t="s">
        <v>393</v>
      </c>
      <c r="B4" s="9" t="n">
        <f aca="false">CashFlow!$D$63+NPV(x_wacc,CashFlow!$E$63:$AC$63)</f>
        <v>9926005.64899813</v>
      </c>
      <c r="C4" s="0" t="s">
        <v>74</v>
      </c>
    </row>
    <row r="5" customFormat="false" ht="15" hidden="false" customHeight="false" outlineLevel="0" collapsed="false">
      <c r="A5" s="0" t="s">
        <v>394</v>
      </c>
      <c r="B5" s="13" t="n">
        <f aca="false">IRR(CashFlow!$D$63:$AC$63)</f>
        <v>0.204321519079152</v>
      </c>
      <c r="C5" s="0" t="s">
        <v>395</v>
      </c>
    </row>
    <row r="6" customFormat="false" ht="15" hidden="false" customHeight="false" outlineLevel="0" collapsed="false">
      <c r="A6" s="0" t="s">
        <v>396</v>
      </c>
      <c r="B6" s="9" t="n">
        <f aca="false">CashFlow!$D$60+NPV(x_ke,CashFlow!$E$60:$AC$60)</f>
        <v>2800480.75858647</v>
      </c>
      <c r="C6" s="0" t="s">
        <v>74</v>
      </c>
    </row>
    <row r="7" customFormat="false" ht="15" hidden="false" customHeight="false" outlineLevel="0" collapsed="false">
      <c r="A7" s="0" t="s">
        <v>397</v>
      </c>
      <c r="B7" s="13" t="n">
        <f aca="false">IRR(CashFlow!$D$60:$AC$60)</f>
        <v>0.288348322907532</v>
      </c>
      <c r="C7" s="0" t="s">
        <v>398</v>
      </c>
    </row>
    <row r="8" customFormat="false" ht="15" hidden="false" customHeight="false" outlineLevel="0" collapsed="false">
      <c r="A8" s="0" t="s">
        <v>399</v>
      </c>
      <c r="B8" s="12" t="n">
        <f aca="false">SUM(CashFlow!$E$67:$AC$67)</f>
        <v>4.82329937245696</v>
      </c>
      <c r="C8" s="0" t="s">
        <v>400</v>
      </c>
    </row>
    <row r="9" customFormat="false" ht="15" hidden="false" customHeight="false" outlineLevel="0" collapsed="false">
      <c r="A9" s="0" t="s">
        <v>401</v>
      </c>
      <c r="B9" s="12" t="n">
        <f aca="false">SUM(CashFlow!$E$69:$AC$69)</f>
        <v>3.61274648406572</v>
      </c>
      <c r="C9" s="0" t="s">
        <v>400</v>
      </c>
    </row>
    <row r="10" customFormat="false" ht="15" hidden="false" customHeight="false" outlineLevel="0" collapsed="false">
      <c r="A10" s="0" t="s">
        <v>402</v>
      </c>
      <c r="B10" s="24" t="n">
        <f aca="false">(x_capex+SUM(CashFlow!$E$71:$AC$71))/SUM(CashFlow!$E$72:$AC$72)</f>
        <v>0.0785005755390346</v>
      </c>
      <c r="C10" s="0" t="s">
        <v>403</v>
      </c>
    </row>
    <row r="11" customFormat="false" ht="15" hidden="false" customHeight="false" outlineLevel="0" collapsed="false">
      <c r="A11" s="0" t="s">
        <v>404</v>
      </c>
      <c r="B11" s="24" t="n">
        <f aca="false">(x_capex+SUM(CashFlow!$E$74:$AC$74))/SUM(CashFlow!$E$75:$AC$75)</f>
        <v>0.0588239929872584</v>
      </c>
      <c r="C11" s="0" t="s">
        <v>112</v>
      </c>
    </row>
    <row r="12" customFormat="false" ht="15" hidden="false" customHeight="false" outlineLevel="0" collapsed="false">
      <c r="A12" s="0" t="s">
        <v>405</v>
      </c>
      <c r="B12" s="12" t="n">
        <f aca="false">MIN(CashFlow!$E$59:$P$59)</f>
        <v>1.90963379252563</v>
      </c>
      <c r="C12" s="0" t="s">
        <v>406</v>
      </c>
    </row>
    <row r="13" customFormat="false" ht="15" hidden="false" customHeight="false" outlineLevel="0" collapsed="false">
      <c r="A13" s="0" t="s">
        <v>407</v>
      </c>
      <c r="B13" s="12" t="n">
        <f aca="false">AVERAGE(CashFlow!$E$59:$P$59)</f>
        <v>2.35685055325407</v>
      </c>
      <c r="C13" s="0" t="s">
        <v>406</v>
      </c>
    </row>
    <row r="14" customFormat="false" ht="15" hidden="false" customHeight="false" outlineLevel="0" collapsed="false">
      <c r="A14" s="0" t="s">
        <v>408</v>
      </c>
      <c r="B14" s="12" t="n">
        <f aca="false">SUM(CashFlow!$E$76:$AC$76)/x_debt</f>
        <v>2.34182498304241</v>
      </c>
      <c r="C14" s="0" t="s">
        <v>409</v>
      </c>
    </row>
    <row r="15" customFormat="false" ht="15" hidden="false" customHeight="false" outlineLevel="0" collapsed="false">
      <c r="A15" s="0" t="s">
        <v>410</v>
      </c>
      <c r="B15" s="9" t="n">
        <f aca="false">CashFlow!$E$14</f>
        <v>96773.9781839023</v>
      </c>
      <c r="C15" s="0" t="s">
        <v>217</v>
      </c>
    </row>
    <row r="16" customFormat="false" ht="15" hidden="false" customHeight="false" outlineLevel="0" collapsed="false">
      <c r="A16" s="0" t="s">
        <v>411</v>
      </c>
      <c r="B16" s="9" t="n">
        <f aca="false">CashFlow!$E$21</f>
        <v>9105463.60732337</v>
      </c>
      <c r="C16" s="0" t="s">
        <v>74</v>
      </c>
    </row>
    <row r="17" customFormat="false" ht="15" hidden="false" customHeight="false" outlineLevel="0" collapsed="false">
      <c r="A17" s="0" t="s">
        <v>412</v>
      </c>
      <c r="B17" s="9" t="n">
        <f aca="false">CashFlow!$E$33</f>
        <v>1975496.4368556</v>
      </c>
      <c r="C17" s="0" t="s">
        <v>74</v>
      </c>
    </row>
    <row r="18" customFormat="false" ht="15" hidden="false" customHeight="false" outlineLevel="0" collapsed="false">
      <c r="A18" s="0" t="s">
        <v>413</v>
      </c>
      <c r="B18" s="9" t="n">
        <f aca="false">CashFlow!$E$34</f>
        <v>7129967.17046777</v>
      </c>
      <c r="C18" s="0" t="s">
        <v>74</v>
      </c>
    </row>
    <row r="19" customFormat="false" ht="15" hidden="false" customHeight="false" outlineLevel="0" collapsed="false">
      <c r="A19" s="0" t="s">
        <v>414</v>
      </c>
      <c r="B19" s="9" t="n">
        <f aca="false">SUM(CashFlow!$E$14:$AC$14)</f>
        <v>2302047.6628595</v>
      </c>
      <c r="C19" s="0" t="s">
        <v>217</v>
      </c>
    </row>
    <row r="20" customFormat="false" ht="15" hidden="false" customHeight="false" outlineLevel="0" collapsed="false">
      <c r="A20" s="0" t="s">
        <v>415</v>
      </c>
      <c r="B20" s="9" t="n">
        <f aca="false">CashFlow!$E$14*1000/(in_mwp*1000)</f>
        <v>1612.89963639837</v>
      </c>
      <c r="C20" s="0" t="s">
        <v>416</v>
      </c>
    </row>
    <row r="21" customFormat="false" ht="15" hidden="false" customHeight="false" outlineLevel="0" collapsed="false">
      <c r="A21" s="0" t="s">
        <v>417</v>
      </c>
      <c r="B21" s="25" t="n">
        <f aca="false">CashFlow!$E$14/(in_mwac*8760)</f>
        <v>0.22094515567101</v>
      </c>
      <c r="C21" s="0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4" t="s">
        <v>419</v>
      </c>
      <c r="B1" s="4" t="s">
        <v>112</v>
      </c>
      <c r="C1" s="4" t="s">
        <v>17</v>
      </c>
    </row>
    <row r="2" customFormat="false" ht="15" hidden="false" customHeight="false" outlineLevel="0" collapsed="false">
      <c r="A2" s="0" t="s">
        <v>420</v>
      </c>
      <c r="B2" s="24" t="n">
        <f aca="false">in_grid_ind_syp/in_fx_official</f>
        <v>0.138775510204082</v>
      </c>
      <c r="C2" s="0" t="s">
        <v>421</v>
      </c>
    </row>
    <row r="3" customFormat="false" ht="15" hidden="false" customHeight="false" outlineLevel="0" collapsed="false">
      <c r="A3" s="0" t="s">
        <v>422</v>
      </c>
      <c r="B3" s="24" t="n">
        <f aca="false">in_grid_ind_syp/in_fx_parallel</f>
        <v>0.120996441281139</v>
      </c>
      <c r="C3" s="0" t="s">
        <v>423</v>
      </c>
    </row>
    <row r="4" customFormat="false" ht="15" hidden="false" customHeight="false" outlineLevel="0" collapsed="false">
      <c r="A4" s="0" t="s">
        <v>424</v>
      </c>
      <c r="B4" s="24" t="n">
        <f aca="false">in_grid_heavy_syp/in_fx_official</f>
        <v>0.146938775510204</v>
      </c>
      <c r="C4" s="0" t="s">
        <v>425</v>
      </c>
    </row>
    <row r="5" customFormat="false" ht="15" hidden="false" customHeight="false" outlineLevel="0" collapsed="false">
      <c r="A5" s="0" t="s">
        <v>426</v>
      </c>
      <c r="B5" s="24" t="n">
        <f aca="false">in_diesel_ind_syp/in_fx_official*in_genset_sfc+in_genset_nonfuel</f>
        <v>0.372857142857143</v>
      </c>
      <c r="C5" s="0" t="s">
        <v>427</v>
      </c>
    </row>
    <row r="6" customFormat="false" ht="15" hidden="false" customHeight="false" outlineLevel="0" collapsed="false">
      <c r="A6" s="0" t="s">
        <v>428</v>
      </c>
      <c r="B6" s="24" t="n">
        <f aca="false">in_diesel_ind_syp/in_fx_parallel*in_genset_sfc+in_genset_nonfuel</f>
        <v>0.328932384341637</v>
      </c>
    </row>
    <row r="7" customFormat="false" ht="15" hidden="false" customHeight="false" outlineLevel="0" collapsed="false">
      <c r="A7" s="0" t="s">
        <v>429</v>
      </c>
      <c r="B7" s="24" t="n">
        <f aca="false">in_diesel_std_syp/in_fx_official*in_genset_sfc+in_genset_nonfuel</f>
        <v>0.43</v>
      </c>
      <c r="C7" s="0" t="s">
        <v>430</v>
      </c>
    </row>
    <row r="8" customFormat="false" ht="15" hidden="false" customHeight="false" outlineLevel="0" collapsed="false">
      <c r="A8" s="0" t="s">
        <v>431</v>
      </c>
      <c r="B8" s="24" t="n">
        <f aca="false">in_ppa_day</f>
        <v>0.1</v>
      </c>
    </row>
    <row r="9" customFormat="false" ht="15" hidden="false" customHeight="false" outlineLevel="0" collapsed="false">
      <c r="A9" s="0" t="s">
        <v>432</v>
      </c>
      <c r="B9" s="25" t="n">
        <f aca="false">1-B8/B2</f>
        <v>0.279411764705882</v>
      </c>
      <c r="C9" s="0" t="s">
        <v>433</v>
      </c>
    </row>
    <row r="10" customFormat="false" ht="15" hidden="false" customHeight="false" outlineLevel="0" collapsed="false">
      <c r="A10" s="0" t="s">
        <v>434</v>
      </c>
      <c r="B10" s="25" t="n">
        <f aca="false">1-B8/B5</f>
        <v>0.731800766283525</v>
      </c>
      <c r="C10" s="0" t="s">
        <v>433</v>
      </c>
    </row>
    <row r="11" customFormat="false" ht="15" hidden="false" customHeight="false" outlineLevel="0" collapsed="false">
      <c r="A11" s="0" t="s">
        <v>435</v>
      </c>
      <c r="B11" s="24" t="n">
        <f aca="false">in_fit_154_pv</f>
        <v>0.04</v>
      </c>
      <c r="C11" s="0" t="s">
        <v>436</v>
      </c>
    </row>
    <row r="12" customFormat="false" ht="15" hidden="false" customHeight="false" outlineLevel="0" collapsed="false">
      <c r="A12" s="0" t="s">
        <v>437</v>
      </c>
      <c r="B12" s="25" t="n">
        <f aca="false">1-in_fx_official/in_fx_parallel</f>
        <v>0.128113879003559</v>
      </c>
      <c r="C12" s="0" t="s">
        <v>433</v>
      </c>
    </row>
    <row r="13" customFormat="false" ht="15" hidden="false" customHeight="false" outlineLevel="0" collapsed="false">
      <c r="A13" s="0" t="s">
        <v>438</v>
      </c>
      <c r="B13" s="24" t="n">
        <f aca="false">in_genset_sfc*in_dfi_ef_diesel</f>
        <v>0.75516</v>
      </c>
      <c r="C13" s="0" t="s">
        <v>439</v>
      </c>
    </row>
    <row r="16" customFormat="false" ht="15" hidden="false" customHeight="false" outlineLevel="0" collapsed="false">
      <c r="A16" s="3" t="s">
        <v>440</v>
      </c>
    </row>
    <row r="17" customFormat="false" ht="15" hidden="false" customHeight="false" outlineLevel="0" collapsed="false">
      <c r="A17" s="4" t="s">
        <v>441</v>
      </c>
      <c r="B17" s="4" t="s">
        <v>112</v>
      </c>
      <c r="C17" s="4"/>
    </row>
    <row r="18" customFormat="false" ht="15" hidden="false" customHeight="false" outlineLevel="0" collapsed="false">
      <c r="A18" s="0" t="n">
        <v>0</v>
      </c>
      <c r="B18" s="24" t="n">
        <f aca="false">(A18*$B$2+(16-A18)*$B$5)/16</f>
        <v>0.372857142857143</v>
      </c>
    </row>
    <row r="19" customFormat="false" ht="15" hidden="false" customHeight="false" outlineLevel="0" collapsed="false">
      <c r="A19" s="0" t="n">
        <v>1</v>
      </c>
      <c r="B19" s="24" t="n">
        <f aca="false">(A19*$B$2+(16-A19)*$B$5)/16</f>
        <v>0.358227040816327</v>
      </c>
    </row>
    <row r="20" customFormat="false" ht="15" hidden="false" customHeight="false" outlineLevel="0" collapsed="false">
      <c r="A20" s="0" t="n">
        <v>2</v>
      </c>
      <c r="B20" s="24" t="n">
        <f aca="false">(A20*$B$2+(16-A20)*$B$5)/16</f>
        <v>0.34359693877551</v>
      </c>
    </row>
    <row r="21" customFormat="false" ht="15" hidden="false" customHeight="false" outlineLevel="0" collapsed="false">
      <c r="A21" s="0" t="n">
        <v>3</v>
      </c>
      <c r="B21" s="24" t="n">
        <f aca="false">(A21*$B$2+(16-A21)*$B$5)/16</f>
        <v>0.328966836734694</v>
      </c>
    </row>
    <row r="22" customFormat="false" ht="15" hidden="false" customHeight="false" outlineLevel="0" collapsed="false">
      <c r="A22" s="0" t="n">
        <v>4</v>
      </c>
      <c r="B22" s="24" t="n">
        <f aca="false">(A22*$B$2+(16-A22)*$B$5)/16</f>
        <v>0.314336734693878</v>
      </c>
    </row>
    <row r="23" customFormat="false" ht="15" hidden="false" customHeight="false" outlineLevel="0" collapsed="false">
      <c r="A23" s="0" t="n">
        <v>5</v>
      </c>
      <c r="B23" s="24" t="n">
        <f aca="false">(A23*$B$2+(16-A23)*$B$5)/16</f>
        <v>0.299706632653061</v>
      </c>
    </row>
    <row r="24" customFormat="false" ht="15" hidden="false" customHeight="false" outlineLevel="0" collapsed="false">
      <c r="A24" s="0" t="n">
        <v>6</v>
      </c>
      <c r="B24" s="24" t="n">
        <f aca="false">(A24*$B$2+(16-A24)*$B$5)/16</f>
        <v>0.285076530612245</v>
      </c>
    </row>
    <row r="25" customFormat="false" ht="15" hidden="false" customHeight="false" outlineLevel="0" collapsed="false">
      <c r="A25" s="0" t="n">
        <v>7</v>
      </c>
      <c r="B25" s="24" t="n">
        <f aca="false">(A25*$B$2+(16-A25)*$B$5)/16</f>
        <v>0.270446428571429</v>
      </c>
    </row>
    <row r="26" customFormat="false" ht="15" hidden="false" customHeight="false" outlineLevel="0" collapsed="false">
      <c r="A26" s="0" t="n">
        <v>8</v>
      </c>
      <c r="B26" s="24" t="n">
        <f aca="false">(A26*$B$2+(16-A26)*$B$5)/16</f>
        <v>0.255816326530612</v>
      </c>
    </row>
    <row r="27" customFormat="false" ht="15" hidden="false" customHeight="false" outlineLevel="0" collapsed="false">
      <c r="A27" s="0" t="n">
        <v>9</v>
      </c>
      <c r="B27" s="24" t="n">
        <f aca="false">(A27*$B$2+(16-A27)*$B$5)/16</f>
        <v>0.241186224489796</v>
      </c>
    </row>
    <row r="28" customFormat="false" ht="15" hidden="false" customHeight="false" outlineLevel="0" collapsed="false">
      <c r="A28" s="0" t="n">
        <v>10</v>
      </c>
      <c r="B28" s="24" t="n">
        <f aca="false">(A28*$B$2+(16-A28)*$B$5)/16</f>
        <v>0.22655612244898</v>
      </c>
    </row>
    <row r="29" customFormat="false" ht="15" hidden="false" customHeight="false" outlineLevel="0" collapsed="false">
      <c r="A29" s="0" t="n">
        <v>11</v>
      </c>
      <c r="B29" s="24" t="n">
        <f aca="false">(A29*$B$2+(16-A29)*$B$5)/16</f>
        <v>0.211926020408163</v>
      </c>
    </row>
    <row r="30" customFormat="false" ht="15" hidden="false" customHeight="false" outlineLevel="0" collapsed="false">
      <c r="A30" s="0" t="n">
        <v>12</v>
      </c>
      <c r="B30" s="24" t="n">
        <f aca="false">(A30*$B$2+(16-A30)*$B$5)/16</f>
        <v>0.197295918367347</v>
      </c>
    </row>
    <row r="31" customFormat="false" ht="15" hidden="false" customHeight="false" outlineLevel="0" collapsed="false">
      <c r="A31" s="0" t="n">
        <v>13</v>
      </c>
      <c r="B31" s="24" t="n">
        <f aca="false">(A31*$B$2+(16-A31)*$B$5)/16</f>
        <v>0.182665816326531</v>
      </c>
    </row>
    <row r="32" customFormat="false" ht="15" hidden="false" customHeight="false" outlineLevel="0" collapsed="false">
      <c r="A32" s="0" t="n">
        <v>14</v>
      </c>
      <c r="B32" s="24" t="n">
        <f aca="false">(A32*$B$2+(16-A32)*$B$5)/16</f>
        <v>0.168035714285714</v>
      </c>
    </row>
    <row r="33" customFormat="false" ht="15" hidden="false" customHeight="false" outlineLevel="0" collapsed="false">
      <c r="A33" s="0" t="n">
        <v>15</v>
      </c>
      <c r="B33" s="24" t="n">
        <f aca="false">(A33*$B$2+(16-A33)*$B$5)/16</f>
        <v>0.153405612244898</v>
      </c>
    </row>
    <row r="34" customFormat="false" ht="15" hidden="false" customHeight="false" outlineLevel="0" collapsed="false">
      <c r="A34" s="0" t="n">
        <v>16</v>
      </c>
      <c r="B34" s="24" t="n">
        <f aca="false">(A34*$B$2+(16-A34)*$B$5)/16</f>
        <v>0.138775510204082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3" t="s">
        <v>442</v>
      </c>
    </row>
    <row r="3" customFormat="false" ht="23.85" hidden="false" customHeight="false" outlineLevel="0" collapsed="false">
      <c r="A3" s="4" t="s">
        <v>443</v>
      </c>
      <c r="B3" s="4" t="s">
        <v>444</v>
      </c>
      <c r="C3" s="4" t="s">
        <v>445</v>
      </c>
      <c r="D3" s="4" t="s">
        <v>394</v>
      </c>
      <c r="E3" s="4" t="s">
        <v>446</v>
      </c>
      <c r="F3" s="4" t="s">
        <v>397</v>
      </c>
      <c r="G3" s="4" t="s">
        <v>447</v>
      </c>
      <c r="H3" s="4" t="s">
        <v>448</v>
      </c>
      <c r="I3" s="4" t="s">
        <v>449</v>
      </c>
      <c r="J3" s="4" t="s">
        <v>450</v>
      </c>
    </row>
    <row r="4" customFormat="false" ht="15" hidden="false" customHeight="false" outlineLevel="0" collapsed="false">
      <c r="A4" s="0" t="s">
        <v>451</v>
      </c>
      <c r="B4" s="9" t="n">
        <v>32244276</v>
      </c>
      <c r="C4" s="9" t="n">
        <v>9926005.64899814</v>
      </c>
      <c r="D4" s="25" t="n">
        <v>0.204321519079156</v>
      </c>
      <c r="E4" s="9" t="n">
        <v>2800480.75858648</v>
      </c>
      <c r="F4" s="25" t="n">
        <v>0.288348322907537</v>
      </c>
      <c r="G4" s="26" t="n">
        <v>4.82329937245696</v>
      </c>
      <c r="H4" s="24" t="n">
        <v>0.0785005755390346</v>
      </c>
      <c r="I4" s="12" t="n">
        <v>1.90963379252563</v>
      </c>
      <c r="J4" s="0" t="s">
        <v>452</v>
      </c>
    </row>
    <row r="5" customFormat="false" ht="15" hidden="false" customHeight="false" outlineLevel="0" collapsed="false">
      <c r="A5" s="0" t="s">
        <v>453</v>
      </c>
      <c r="B5" s="9" t="n">
        <v>29664733.92</v>
      </c>
      <c r="C5" s="9" t="n">
        <v>19177145.6361181</v>
      </c>
      <c r="D5" s="25" t="n">
        <v>0.257496227791859</v>
      </c>
      <c r="E5" s="9" t="n">
        <v>8987272.24318535</v>
      </c>
      <c r="F5" s="25" t="n">
        <v>0.40203228600927</v>
      </c>
      <c r="G5" s="26" t="n">
        <v>3.89244982653575</v>
      </c>
      <c r="H5" s="24" t="n">
        <v>0.0689058897523666</v>
      </c>
      <c r="I5" s="12" t="n">
        <v>2.40849278958649</v>
      </c>
      <c r="J5" s="0" t="s">
        <v>454</v>
      </c>
    </row>
    <row r="6" customFormat="false" ht="15" hidden="false" customHeight="false" outlineLevel="0" collapsed="false">
      <c r="A6" s="0" t="s">
        <v>455</v>
      </c>
      <c r="B6" s="9" t="n">
        <v>37080917.4</v>
      </c>
      <c r="C6" s="9" t="n">
        <v>-5770892.13650904</v>
      </c>
      <c r="D6" s="25" t="n">
        <v>0.126411440421355</v>
      </c>
      <c r="E6" s="9" t="n">
        <v>-7753802.03610261</v>
      </c>
      <c r="F6" s="25" t="n">
        <v>0.13913431969291</v>
      </c>
      <c r="G6" s="26" t="n">
        <v>7.28564627215583</v>
      </c>
      <c r="H6" s="24" t="n">
        <v>0.097464412432355</v>
      </c>
      <c r="I6" s="12" t="n">
        <v>1.22773411763504</v>
      </c>
      <c r="J6" s="0" t="s">
        <v>456</v>
      </c>
    </row>
    <row r="7" customFormat="false" ht="15" hidden="false" customHeight="false" outlineLevel="0" collapsed="false">
      <c r="A7" s="0" t="s">
        <v>457</v>
      </c>
      <c r="B7" s="9" t="n">
        <v>40305345</v>
      </c>
      <c r="C7" s="9" t="n">
        <v>-18996739.6389589</v>
      </c>
      <c r="D7" s="25" t="n">
        <v>0.0643084501999285</v>
      </c>
      <c r="E7" s="9" t="n">
        <v>-16777619.4662475</v>
      </c>
      <c r="F7" s="25" t="n">
        <v>0.0253283379236271</v>
      </c>
      <c r="G7" s="26" t="n">
        <v>10.6988815200307</v>
      </c>
      <c r="H7" s="24" t="n">
        <v>0.112197630831887</v>
      </c>
      <c r="I7" s="12" t="n">
        <v>0.809724150526016</v>
      </c>
      <c r="J7" s="0" t="s">
        <v>458</v>
      </c>
    </row>
    <row r="8" customFormat="false" ht="15" hidden="false" customHeight="false" outlineLevel="0" collapsed="false">
      <c r="A8" s="0" t="s">
        <v>459</v>
      </c>
      <c r="B8" s="9" t="n">
        <v>32244276</v>
      </c>
      <c r="C8" s="9" t="n">
        <v>-20852381.4507702</v>
      </c>
      <c r="D8" s="25" t="n">
        <v>0.0112186412976436</v>
      </c>
      <c r="E8" s="9" t="n">
        <v>-16740793.3434944</v>
      </c>
      <c r="F8" s="25" t="n">
        <v>-0.0376399061352335</v>
      </c>
      <c r="G8" s="26" t="n">
        <v>20.3453516182926</v>
      </c>
      <c r="H8" s="24" t="n">
        <v>0.0726954821902604</v>
      </c>
      <c r="I8" s="12" t="n">
        <v>0.562447956392699</v>
      </c>
      <c r="J8" s="0" t="s">
        <v>460</v>
      </c>
    </row>
    <row r="9" customFormat="false" ht="15" hidden="false" customHeight="false" outlineLevel="0" collapsed="false">
      <c r="A9" s="0" t="s">
        <v>461</v>
      </c>
      <c r="B9" s="9" t="n">
        <v>45444276</v>
      </c>
      <c r="C9" s="9" t="n">
        <v>819429.997872074</v>
      </c>
      <c r="D9" s="25" t="n">
        <v>0.156671284269958</v>
      </c>
      <c r="E9" s="9" t="n">
        <v>-4424021.24083792</v>
      </c>
      <c r="F9" s="25" t="n">
        <v>0.193879033999516</v>
      </c>
      <c r="G9" s="26" t="n">
        <v>6.08382493828622</v>
      </c>
      <c r="H9" s="24" t="n">
        <v>0.109441992000769</v>
      </c>
      <c r="I9" s="12" t="n">
        <v>1.36829786851011</v>
      </c>
      <c r="J9" s="0" t="s">
        <v>462</v>
      </c>
    </row>
    <row r="11" customFormat="false" ht="23.85" hidden="false" customHeight="false" outlineLevel="0" collapsed="false">
      <c r="A11" s="4" t="s">
        <v>463</v>
      </c>
      <c r="B11" s="4" t="s">
        <v>464</v>
      </c>
      <c r="C11" s="4" t="s">
        <v>465</v>
      </c>
      <c r="D11" s="4" t="s">
        <v>466</v>
      </c>
      <c r="E11" s="4" t="s">
        <v>467</v>
      </c>
      <c r="F11" s="4" t="s">
        <v>468</v>
      </c>
      <c r="G11" s="4" t="s">
        <v>469</v>
      </c>
    </row>
    <row r="12" customFormat="false" ht="15" hidden="false" customHeight="false" outlineLevel="0" collapsed="false">
      <c r="A12" s="0" t="s">
        <v>470</v>
      </c>
      <c r="B12" s="9" t="n">
        <v>1555123.35196273</v>
      </c>
      <c r="C12" s="9" t="n">
        <v>18296887.9460335</v>
      </c>
      <c r="D12" s="25" t="n">
        <v>0.203404755847378</v>
      </c>
      <c r="E12" s="25" t="n">
        <v>0.375376896793901</v>
      </c>
      <c r="F12" s="12" t="n">
        <v>1.52837030135721</v>
      </c>
      <c r="G12" s="12" t="n">
        <v>2.29089728369405</v>
      </c>
    </row>
    <row r="13" customFormat="false" ht="15" hidden="false" customHeight="false" outlineLevel="0" collapsed="false">
      <c r="A13" s="0" t="s">
        <v>471</v>
      </c>
      <c r="B13" s="9" t="n">
        <v>3055830.02059306</v>
      </c>
      <c r="C13" s="9" t="n">
        <v>13361093.4632007</v>
      </c>
      <c r="D13" s="25" t="n">
        <v>0.212879962763029</v>
      </c>
      <c r="E13" s="25" t="n">
        <v>0.339943286101426</v>
      </c>
      <c r="F13" s="12" t="n">
        <v>1.57669873932396</v>
      </c>
      <c r="G13" s="12" t="n">
        <v>2.13159049466007</v>
      </c>
    </row>
    <row r="14" customFormat="false" ht="15" hidden="false" customHeight="false" outlineLevel="0" collapsed="false">
      <c r="A14" s="0" t="s">
        <v>472</v>
      </c>
      <c r="B14" s="9" t="n">
        <v>4172821.93969546</v>
      </c>
      <c r="C14" s="9" t="n">
        <v>11651960.7617889</v>
      </c>
      <c r="D14" s="25" t="n">
        <v>0.22963598370057</v>
      </c>
      <c r="E14" s="25" t="n">
        <v>0.306179411489169</v>
      </c>
      <c r="F14" s="12" t="n">
        <v>1.64759702883599</v>
      </c>
      <c r="G14" s="12" t="n">
        <v>1.98824482163252</v>
      </c>
    </row>
    <row r="15" customFormat="false" ht="15" hidden="false" customHeight="false" outlineLevel="0" collapsed="false">
      <c r="A15" s="0" t="s">
        <v>473</v>
      </c>
      <c r="B15" s="9" t="n">
        <v>5781301.07797966</v>
      </c>
      <c r="C15" s="9" t="n">
        <v>12689142.0296771</v>
      </c>
      <c r="D15" s="25" t="n">
        <v>0.24690911620416</v>
      </c>
      <c r="E15" s="25" t="n">
        <v>0.316029203720912</v>
      </c>
      <c r="F15" s="12" t="n">
        <v>1.71064958354393</v>
      </c>
      <c r="G15" s="12" t="n">
        <v>2.04228993184676</v>
      </c>
    </row>
    <row r="16" customFormat="false" ht="15" hidden="false" customHeight="false" outlineLevel="0" collapsed="false">
      <c r="A16" s="0" t="s">
        <v>474</v>
      </c>
      <c r="B16" s="9" t="n">
        <v>6172110.90346372</v>
      </c>
      <c r="C16" s="9" t="n">
        <v>12550437.853557</v>
      </c>
      <c r="D16" s="25" t="n">
        <v>0.249848625740229</v>
      </c>
      <c r="E16" s="25" t="n">
        <v>0.315529336279614</v>
      </c>
      <c r="F16" s="12" t="n">
        <v>1.73947080556918</v>
      </c>
      <c r="G16" s="12" t="n">
        <v>2.02859856198905</v>
      </c>
    </row>
    <row r="17" customFormat="false" ht="15" hidden="false" customHeight="false" outlineLevel="0" collapsed="false">
      <c r="A17" s="0" t="s">
        <v>475</v>
      </c>
      <c r="B17" s="9" t="n">
        <v>5898777.05248626</v>
      </c>
      <c r="C17" s="9" t="n">
        <v>11076642.3908587</v>
      </c>
      <c r="D17" s="25" t="n">
        <v>0.247111275313299</v>
      </c>
      <c r="E17" s="25" t="n">
        <v>0.300226986470794</v>
      </c>
      <c r="F17" s="12" t="n">
        <v>1.72620805794288</v>
      </c>
      <c r="G17" s="12" t="n">
        <v>1.96204114526356</v>
      </c>
    </row>
    <row r="18" customFormat="false" ht="15" hidden="false" customHeight="false" outlineLevel="0" collapsed="false">
      <c r="A18" s="0" t="s">
        <v>476</v>
      </c>
      <c r="B18" s="9" t="n">
        <v>7318448.3402503</v>
      </c>
      <c r="C18" s="9" t="n">
        <v>11603918.6165505</v>
      </c>
      <c r="D18" s="25" t="n">
        <v>0.26895177383913</v>
      </c>
      <c r="E18" s="25" t="n">
        <v>0.299646565664139</v>
      </c>
      <c r="F18" s="12" t="n">
        <v>1.73579594913074</v>
      </c>
      <c r="G18" s="12" t="n">
        <v>2.02434612657275</v>
      </c>
    </row>
    <row r="19" customFormat="false" ht="15" hidden="false" customHeight="false" outlineLevel="0" collapsed="false">
      <c r="A19" s="0" t="s">
        <v>477</v>
      </c>
      <c r="B19" s="9" t="n">
        <v>8060926.92494614</v>
      </c>
      <c r="C19" s="9" t="n">
        <v>10458885.2844416</v>
      </c>
      <c r="D19" s="25" t="n">
        <v>0.269155497169679</v>
      </c>
      <c r="E19" s="25" t="n">
        <v>0.293852323294078</v>
      </c>
      <c r="F19" s="12" t="n">
        <v>1.8250903015364</v>
      </c>
      <c r="G19" s="12" t="n">
        <v>1.93378907566541</v>
      </c>
    </row>
    <row r="20" customFormat="false" ht="15" hidden="false" customHeight="false" outlineLevel="0" collapsed="false">
      <c r="A20" s="0" t="s">
        <v>478</v>
      </c>
      <c r="B20" s="9" t="n">
        <v>9377230.88037926</v>
      </c>
      <c r="C20" s="9" t="n">
        <v>10999463.8946337</v>
      </c>
      <c r="D20" s="25" t="n">
        <v>0.284054990700164</v>
      </c>
      <c r="E20" s="25" t="n">
        <v>0.296739087905519</v>
      </c>
      <c r="F20" s="12" t="n">
        <v>1.89452152148469</v>
      </c>
      <c r="G20" s="12" t="n">
        <v>1.9398583346075</v>
      </c>
    </row>
    <row r="21" customFormat="false" ht="15" hidden="false" customHeight="false" outlineLevel="0" collapsed="false">
      <c r="A21" s="0" t="s">
        <v>479</v>
      </c>
      <c r="B21" s="9" t="n">
        <v>8963373.81724302</v>
      </c>
      <c r="C21" s="9" t="n">
        <v>10246882.9262498</v>
      </c>
      <c r="D21" s="25" t="n">
        <v>0.282424268858546</v>
      </c>
      <c r="E21" s="25" t="n">
        <v>0.290274289785332</v>
      </c>
      <c r="F21" s="12" t="n">
        <v>1.90963379252563</v>
      </c>
      <c r="G21" s="12" t="n">
        <v>1.90963379252563</v>
      </c>
    </row>
    <row r="23" customFormat="false" ht="15" hidden="false" customHeight="false" outlineLevel="0" collapsed="false">
      <c r="A23" s="4" t="s">
        <v>480</v>
      </c>
      <c r="B23" s="4" t="s">
        <v>481</v>
      </c>
      <c r="C23" s="4" t="s">
        <v>482</v>
      </c>
    </row>
    <row r="24" customFormat="false" ht="15" hidden="false" customHeight="false" outlineLevel="0" collapsed="false">
      <c r="A24" s="0" t="s">
        <v>483</v>
      </c>
      <c r="B24" s="9" t="n">
        <v>-3486159.38294</v>
      </c>
      <c r="C24" s="9" t="n">
        <v>3657763.08035232</v>
      </c>
    </row>
    <row r="25" customFormat="false" ht="15" hidden="false" customHeight="false" outlineLevel="0" collapsed="false">
      <c r="A25" s="0" t="s">
        <v>484</v>
      </c>
      <c r="B25" s="9" t="n">
        <v>2634636.53999813</v>
      </c>
      <c r="C25" s="9" t="n">
        <v>8350414.76423796</v>
      </c>
    </row>
    <row r="26" customFormat="false" ht="15" hidden="false" customHeight="false" outlineLevel="0" collapsed="false">
      <c r="A26" s="0" t="s">
        <v>485</v>
      </c>
      <c r="B26" s="9" t="n">
        <v>8902670.30029206</v>
      </c>
      <c r="C26" s="9" t="n">
        <v>13134246.399853</v>
      </c>
    </row>
    <row r="27" customFormat="false" ht="15" hidden="false" customHeight="false" outlineLevel="0" collapsed="false">
      <c r="A27" s="0" t="s">
        <v>486</v>
      </c>
      <c r="B27" s="25" t="n">
        <v>0.2994</v>
      </c>
      <c r="C27" s="25" t="n">
        <v>0.0129</v>
      </c>
    </row>
    <row r="28" customFormat="false" ht="15" hidden="false" customHeight="false" outlineLevel="0" collapsed="false">
      <c r="A28" s="0" t="s">
        <v>487</v>
      </c>
      <c r="B28" s="25" t="n">
        <v>0.156848796713227</v>
      </c>
      <c r="C28" s="25" t="n">
        <v>0.225121650268749</v>
      </c>
    </row>
    <row r="29" customFormat="false" ht="15" hidden="false" customHeight="false" outlineLevel="0" collapsed="false">
      <c r="A29" s="0" t="s">
        <v>488</v>
      </c>
      <c r="B29" s="25" t="n">
        <v>0.213291346044107</v>
      </c>
      <c r="C29" s="25" t="n">
        <v>0.272010899564487</v>
      </c>
    </row>
    <row r="30" customFormat="false" ht="15" hidden="false" customHeight="false" outlineLevel="0" collapsed="false">
      <c r="A30" s="0" t="s">
        <v>489</v>
      </c>
      <c r="B30" s="25" t="n">
        <v>0.277511839128518</v>
      </c>
      <c r="C30" s="25" t="n">
        <v>0.321348219512128</v>
      </c>
    </row>
    <row r="31" customFormat="false" ht="15" hidden="false" customHeight="false" outlineLevel="0" collapsed="false">
      <c r="A31" s="0" t="s">
        <v>490</v>
      </c>
      <c r="B31" s="25" t="n">
        <v>0.7249</v>
      </c>
      <c r="C31" s="25" t="n">
        <v>0.2223</v>
      </c>
    </row>
    <row r="32" customFormat="false" ht="15" hidden="false" customHeight="false" outlineLevel="0" collapsed="false">
      <c r="A32" s="0" t="s">
        <v>491</v>
      </c>
      <c r="B32" s="12" t="n">
        <v>1.25179233944207</v>
      </c>
      <c r="C32" s="12" t="n">
        <v>1.55943001789055</v>
      </c>
    </row>
    <row r="33" customFormat="false" ht="15" hidden="false" customHeight="false" outlineLevel="0" collapsed="false">
      <c r="A33" s="0" t="s">
        <v>492</v>
      </c>
      <c r="B33" s="25" t="n">
        <v>0.0842</v>
      </c>
      <c r="C33" s="25" t="n">
        <v>0.0005</v>
      </c>
    </row>
    <row r="34" customFormat="false" ht="15" hidden="false" customHeight="false" outlineLevel="0" collapsed="false">
      <c r="A34" s="0" t="s">
        <v>493</v>
      </c>
      <c r="B34" s="25" t="n">
        <v>0.0137</v>
      </c>
      <c r="C34" s="25" t="n">
        <v>0</v>
      </c>
    </row>
    <row r="36" customFormat="false" ht="15" hidden="false" customHeight="false" outlineLevel="0" collapsed="false">
      <c r="A36" s="4" t="s">
        <v>494</v>
      </c>
      <c r="B36" s="4" t="s">
        <v>15</v>
      </c>
      <c r="C36" s="4"/>
    </row>
    <row r="37" customFormat="false" ht="15" hidden="false" customHeight="false" outlineLevel="0" collapsed="false">
      <c r="A37" s="0" t="s">
        <v>495</v>
      </c>
      <c r="B37" s="24" t="n">
        <v>0.0822133343354138</v>
      </c>
    </row>
    <row r="38" customFormat="false" ht="15" hidden="false" customHeight="false" outlineLevel="0" collapsed="false">
      <c r="A38" s="0" t="s">
        <v>496</v>
      </c>
      <c r="B38" s="24" t="n">
        <v>0.0921383489684365</v>
      </c>
    </row>
    <row r="39" customFormat="false" ht="15" hidden="false" customHeight="false" outlineLevel="0" collapsed="false">
      <c r="A39" s="0" t="s">
        <v>497</v>
      </c>
      <c r="B39" s="24" t="n">
        <v>0.0760152569031455</v>
      </c>
    </row>
    <row r="40" customFormat="false" ht="15" hidden="false" customHeight="false" outlineLevel="0" collapsed="false">
      <c r="A40" s="0" t="s">
        <v>498</v>
      </c>
      <c r="B40" s="12" t="n">
        <v>1.28895929844817</v>
      </c>
    </row>
    <row r="41" customFormat="false" ht="15" hidden="false" customHeight="false" outlineLevel="0" collapsed="false">
      <c r="A41" s="0" t="s">
        <v>499</v>
      </c>
      <c r="B41" s="25" t="n">
        <v>0.202530656946486</v>
      </c>
    </row>
    <row r="42" customFormat="false" ht="15" hidden="false" customHeight="false" outlineLevel="0" collapsed="false">
      <c r="A42" s="0" t="s">
        <v>500</v>
      </c>
      <c r="B42" s="24" t="n">
        <v>0.22269590547262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4" t="s">
        <v>501</v>
      </c>
      <c r="B1" s="4" t="s">
        <v>502</v>
      </c>
      <c r="C1" s="4" t="s">
        <v>503</v>
      </c>
      <c r="D1" s="4" t="s">
        <v>504</v>
      </c>
      <c r="E1" s="4" t="s">
        <v>505</v>
      </c>
    </row>
    <row r="2" customFormat="false" ht="15" hidden="false" customHeight="false" outlineLevel="0" collapsed="false">
      <c r="A2" s="0" t="s">
        <v>506</v>
      </c>
      <c r="B2" s="27" t="n">
        <f aca="false">x_debt+x_equity-x_funding</f>
        <v>0</v>
      </c>
      <c r="C2" s="27" t="n">
        <v>0</v>
      </c>
      <c r="D2" s="28" t="n">
        <f aca="false">B2-C2</f>
        <v>0</v>
      </c>
      <c r="E2" s="0" t="str">
        <f aca="false">IF(ABS(D2)&lt;0.01,"PASS","FAIL")</f>
        <v>PASS</v>
      </c>
    </row>
    <row r="3" customFormat="false" ht="15" hidden="false" customHeight="false" outlineLevel="0" collapsed="false">
      <c r="A3" s="0" t="s">
        <v>507</v>
      </c>
      <c r="B3" s="27" t="n">
        <f aca="false">(SUM(Capex!B2:B10)*(1+in_epc_margin)*(1+in_owners_pct+in_contingency)+in_c_dev_lump)*in_capex_mult-x_capex_pv</f>
        <v>0</v>
      </c>
      <c r="C3" s="27" t="n">
        <v>0</v>
      </c>
      <c r="D3" s="28" t="n">
        <f aca="false">B3-C3</f>
        <v>0</v>
      </c>
      <c r="E3" s="0" t="str">
        <f aca="false">IF(ABS(D3)&lt;0.01,"PASS","FAIL")</f>
        <v>PASS</v>
      </c>
    </row>
    <row r="4" customFormat="false" ht="15" hidden="false" customHeight="false" outlineLevel="0" collapsed="false">
      <c r="A4" s="0" t="s">
        <v>508</v>
      </c>
      <c r="B4" s="27" t="n">
        <f aca="false">CashFlow!$P$42</f>
        <v>0</v>
      </c>
      <c r="C4" s="27" t="n">
        <v>0</v>
      </c>
      <c r="D4" s="28" t="n">
        <f aca="false">B4-C4</f>
        <v>0</v>
      </c>
      <c r="E4" s="0" t="str">
        <f aca="false">IF(ABS(D4)&lt;0.01,"PASS","FAIL")</f>
        <v>PASS</v>
      </c>
    </row>
    <row r="5" customFormat="false" ht="15" hidden="false" customHeight="false" outlineLevel="0" collapsed="false">
      <c r="A5" s="0" t="s">
        <v>509</v>
      </c>
      <c r="B5" s="27" t="n">
        <f aca="false">SUM(CashFlow!$E$41:$AC$41)-x_debt</f>
        <v>0</v>
      </c>
      <c r="C5" s="27" t="n">
        <v>0</v>
      </c>
      <c r="D5" s="28" t="n">
        <f aca="false">B5-C5</f>
        <v>0</v>
      </c>
      <c r="E5" s="0" t="str">
        <f aca="false">IF(ABS(D5)&lt;0.01,"PASS","FAIL")</f>
        <v>PASS</v>
      </c>
    </row>
    <row r="6" customFormat="false" ht="15" hidden="false" customHeight="false" outlineLevel="0" collapsed="false">
      <c r="A6" s="0" t="s">
        <v>510</v>
      </c>
      <c r="B6" s="27" t="n">
        <f aca="false">SUM(CashFlow!$E$58:$AC$58)-SUM(CashFlow!$E$40:$AC$40)-SUM(CashFlow!$E$60:$AC$60)</f>
        <v>0</v>
      </c>
      <c r="C6" s="27" t="n">
        <v>0</v>
      </c>
      <c r="D6" s="28" t="n">
        <f aca="false">B6-C6</f>
        <v>0</v>
      </c>
      <c r="E6" s="0" t="str">
        <f aca="false">IF(ABS(D6)&lt;0.01,"PASS","FAIL")</f>
        <v>PASS</v>
      </c>
    </row>
    <row r="7" customFormat="false" ht="15" hidden="false" customHeight="false" outlineLevel="0" collapsed="false">
      <c r="A7" s="0" t="s">
        <v>511</v>
      </c>
      <c r="B7" s="27" t="n">
        <f aca="false">CashFlow!$D$63+NPV(x_irr,CashFlow!$E$63:$AC$63)</f>
        <v>0</v>
      </c>
      <c r="C7" s="27" t="n">
        <v>0</v>
      </c>
      <c r="D7" s="28" t="n">
        <f aca="false">B7-C7</f>
        <v>0</v>
      </c>
      <c r="E7" s="0" t="str">
        <f aca="false">IF(ABS(D7)&lt;1,"PASS","FAIL")</f>
        <v>PASS</v>
      </c>
    </row>
    <row r="8" customFormat="false" ht="15" hidden="false" customHeight="false" outlineLevel="0" collapsed="false">
      <c r="A8" s="0" t="s">
        <v>512</v>
      </c>
      <c r="B8" s="27" t="n">
        <f aca="false">CashFlow!$D$60+NPV(x_irr_eq,CashFlow!$E$60:$AC$60)</f>
        <v>0</v>
      </c>
      <c r="C8" s="27" t="n">
        <v>0</v>
      </c>
      <c r="D8" s="28" t="n">
        <f aca="false">B8-C8</f>
        <v>0</v>
      </c>
      <c r="E8" s="0" t="str">
        <f aca="false">IF(ABS(D8)&lt;1,"PASS","FAIL")</f>
        <v>PASS</v>
      </c>
    </row>
    <row r="9" customFormat="false" ht="15" hidden="false" customHeight="false" outlineLevel="0" collapsed="false">
      <c r="A9" s="0" t="s">
        <v>513</v>
      </c>
      <c r="B9" s="27" t="n">
        <f aca="false">SUM(CashFlow!$E$55:$AC$55)</f>
        <v>0</v>
      </c>
      <c r="C9" s="27" t="n">
        <v>0</v>
      </c>
      <c r="D9" s="28" t="n">
        <f aca="false">B9-C9</f>
        <v>0</v>
      </c>
      <c r="E9" s="0" t="str">
        <f aca="false">IF(ABS(D9)&lt;0.01,"PASS","FAIL")</f>
        <v>PASS</v>
      </c>
    </row>
    <row r="10" customFormat="false" ht="15" hidden="false" customHeight="false" outlineLevel="0" collapsed="false">
      <c r="A10" s="0" t="s">
        <v>514</v>
      </c>
      <c r="B10" s="27" t="n">
        <f aca="false">MIN(CashFlow!$E$51:$AC$51)</f>
        <v>87769.4219152385</v>
      </c>
      <c r="C10" s="27" t="n">
        <v>0</v>
      </c>
      <c r="D10" s="28" t="n">
        <f aca="false">B10</f>
        <v>87769.4219152385</v>
      </c>
      <c r="E10" s="0" t="str">
        <f aca="false">IF(B10&gt;=0,"PASS","FAIL")</f>
        <v>PASS</v>
      </c>
    </row>
    <row r="11" customFormat="false" ht="15" hidden="false" customHeight="false" outlineLevel="0" collapsed="false">
      <c r="A11" s="0" t="s">
        <v>515</v>
      </c>
      <c r="B11" s="27" t="n">
        <f aca="false">MIN(CashFlow!$E$14:$AC$14)</f>
        <v>87389.8348448573</v>
      </c>
      <c r="C11" s="27" t="n">
        <v>0</v>
      </c>
      <c r="D11" s="28" t="n">
        <f aca="false">B11</f>
        <v>87389.8348448573</v>
      </c>
      <c r="E11" s="0" t="str">
        <f aca="false">IF(B11&gt;=0,"PASS","FAIL")</f>
        <v>PASS</v>
      </c>
    </row>
    <row r="12" customFormat="false" ht="15" hidden="false" customHeight="false" outlineLevel="0" collapsed="false">
      <c r="A12" s="0" t="s">
        <v>516</v>
      </c>
      <c r="B12" s="27" t="n">
        <f aca="false">x_gear-in_gearing</f>
        <v>0</v>
      </c>
      <c r="C12" s="27" t="n">
        <v>0</v>
      </c>
      <c r="D12" s="28" t="n">
        <f aca="false">B12-C12</f>
        <v>0</v>
      </c>
      <c r="E12" s="0" t="str">
        <f aca="false">IF(ABS(D12)&lt;0.01,"PASS","FAIL")</f>
        <v>PASS</v>
      </c>
    </row>
    <row r="13" customFormat="false" ht="15" hidden="false" customHeight="false" outlineLevel="0" collapsed="false">
      <c r="A13" s="0" t="s">
        <v>517</v>
      </c>
      <c r="B13" s="27" t="n">
        <f aca="false">x_min_dscr-in_dscr_lockup</f>
        <v>0.759633792525628</v>
      </c>
      <c r="C13" s="27" t="n">
        <v>0</v>
      </c>
      <c r="D13" s="28" t="n">
        <f aca="false">B13</f>
        <v>0.759633792525628</v>
      </c>
      <c r="E13" s="0" t="str">
        <f aca="false">IF(B13&gt;=0,"PASS","FAIL")</f>
        <v>PASS</v>
      </c>
    </row>
    <row r="14" customFormat="false" ht="15" hidden="false" customHeight="false" outlineLevel="0" collapsed="false">
      <c r="A14" s="0" t="s">
        <v>518</v>
      </c>
      <c r="B14" s="27" t="n">
        <f aca="false">x_capex</f>
        <v>32244276</v>
      </c>
      <c r="C14" s="27" t="n">
        <v>32244276</v>
      </c>
      <c r="D14" s="29" t="n">
        <f aca="false">IF(C14=0,B14,B14/C14-1)</f>
        <v>0</v>
      </c>
      <c r="E14" s="0" t="str">
        <f aca="false">IF(ABS(D14)&lt;0.000001,"PASS","FAIL")</f>
        <v>PASS</v>
      </c>
    </row>
    <row r="15" customFormat="false" ht="15" hidden="false" customHeight="false" outlineLevel="0" collapsed="false">
      <c r="A15" s="0" t="s">
        <v>519</v>
      </c>
      <c r="B15" s="27" t="n">
        <f aca="false">x_debt</f>
        <v>20170111.2420113</v>
      </c>
      <c r="C15" s="27" t="n">
        <v>20170111.2420113</v>
      </c>
      <c r="D15" s="29" t="n">
        <f aca="false">IF(C15=0,B15,B15/C15-1)</f>
        <v>0</v>
      </c>
      <c r="E15" s="0" t="str">
        <f aca="false">IF(ABS(D15)&lt;0.000001,"PASS","FAIL")</f>
        <v>PASS</v>
      </c>
    </row>
    <row r="16" customFormat="false" ht="15" hidden="false" customHeight="false" outlineLevel="0" collapsed="false">
      <c r="A16" s="0" t="s">
        <v>520</v>
      </c>
      <c r="B16" s="27" t="n">
        <f aca="false">x_e1</f>
        <v>96773.9781839023</v>
      </c>
      <c r="C16" s="27" t="n">
        <v>96773.9781839023</v>
      </c>
      <c r="D16" s="29" t="n">
        <f aca="false">IF(C16=0,B16,B16/C16-1)</f>
        <v>0</v>
      </c>
      <c r="E16" s="0" t="str">
        <f aca="false">IF(ABS(D16)&lt;0.000001,"PASS","FAIL")</f>
        <v>PASS</v>
      </c>
    </row>
    <row r="17" customFormat="false" ht="15" hidden="false" customHeight="false" outlineLevel="0" collapsed="false">
      <c r="A17" s="0" t="s">
        <v>521</v>
      </c>
      <c r="B17" s="27" t="n">
        <f aca="false">x_rev1</f>
        <v>9105463.60732337</v>
      </c>
      <c r="C17" s="27" t="n">
        <v>9105463.60732337</v>
      </c>
      <c r="D17" s="29" t="n">
        <f aca="false">IF(C17=0,B17,B17/C17-1)</f>
        <v>0</v>
      </c>
      <c r="E17" s="0" t="str">
        <f aca="false">IF(ABS(D17)&lt;0.000001,"PASS","FAIL")</f>
        <v>PASS</v>
      </c>
    </row>
    <row r="18" customFormat="false" ht="15" hidden="false" customHeight="false" outlineLevel="0" collapsed="false">
      <c r="A18" s="0" t="s">
        <v>522</v>
      </c>
      <c r="B18" s="27" t="n">
        <f aca="false">x_ebitda1</f>
        <v>7129967.17046777</v>
      </c>
      <c r="C18" s="27" t="n">
        <v>7129967.17046777</v>
      </c>
      <c r="D18" s="29" t="n">
        <f aca="false">IF(C18=0,B18,B18/C18-1)</f>
        <v>0</v>
      </c>
      <c r="E18" s="0" t="str">
        <f aca="false">IF(ABS(D18)&lt;0.000001,"PASS","FAIL")</f>
        <v>PASS</v>
      </c>
    </row>
    <row r="19" customFormat="false" ht="15" hidden="false" customHeight="false" outlineLevel="0" collapsed="false">
      <c r="A19" s="0" t="s">
        <v>523</v>
      </c>
      <c r="B19" s="27" t="n">
        <f aca="false">x_npv</f>
        <v>9926005.64899813</v>
      </c>
      <c r="C19" s="27" t="n">
        <v>9926005.64899814</v>
      </c>
      <c r="D19" s="29" t="n">
        <f aca="false">IF(C19=0,B19,B19/C19-1)</f>
        <v>0</v>
      </c>
      <c r="E19" s="0" t="str">
        <f aca="false">IF(ABS(D19)&lt;0.000001,"PASS","FAIL")</f>
        <v>PASS</v>
      </c>
    </row>
    <row r="20" customFormat="false" ht="15" hidden="false" customHeight="false" outlineLevel="0" collapsed="false">
      <c r="A20" s="0" t="s">
        <v>524</v>
      </c>
      <c r="B20" s="27" t="n">
        <f aca="false">x_irr</f>
        <v>0.204321519079152</v>
      </c>
      <c r="C20" s="27" t="n">
        <v>0.204321519079156</v>
      </c>
      <c r="D20" s="29" t="n">
        <f aca="false">IF(C20=0,B20,B20/C20-1)</f>
        <v>-1.93178806284777E-014</v>
      </c>
      <c r="E20" s="0" t="str">
        <f aca="false">IF(ABS(D20)&lt;0.000001,"PASS","FAIL")</f>
        <v>PASS</v>
      </c>
    </row>
    <row r="21" customFormat="false" ht="15" hidden="false" customHeight="false" outlineLevel="0" collapsed="false">
      <c r="A21" s="0" t="s">
        <v>525</v>
      </c>
      <c r="B21" s="27" t="n">
        <f aca="false">x_npv_eq</f>
        <v>2800480.75858647</v>
      </c>
      <c r="C21" s="27" t="n">
        <v>2800480.75858648</v>
      </c>
      <c r="D21" s="29" t="n">
        <f aca="false">IF(C21=0,B21,B21/C21-1)</f>
        <v>0</v>
      </c>
      <c r="E21" s="0" t="str">
        <f aca="false">IF(ABS(D21)&lt;0.000001,"PASS","FAIL")</f>
        <v>PASS</v>
      </c>
    </row>
    <row r="22" customFormat="false" ht="15" hidden="false" customHeight="false" outlineLevel="0" collapsed="false">
      <c r="A22" s="0" t="s">
        <v>526</v>
      </c>
      <c r="B22" s="27" t="n">
        <f aca="false">x_irr_eq</f>
        <v>0.288348322907532</v>
      </c>
      <c r="C22" s="27" t="n">
        <v>0.288348322907537</v>
      </c>
      <c r="D22" s="29" t="n">
        <f aca="false">IF(C22=0,B22,B22/C22-1)</f>
        <v>-1.83186799063151E-014</v>
      </c>
      <c r="E22" s="0" t="str">
        <f aca="false">IF(ABS(D22)&lt;0.000001,"PASS","FAIL")</f>
        <v>PASS</v>
      </c>
    </row>
    <row r="23" customFormat="false" ht="15" hidden="false" customHeight="false" outlineLevel="0" collapsed="false">
      <c r="A23" s="0" t="s">
        <v>527</v>
      </c>
      <c r="B23" s="27" t="n">
        <f aca="false">x_pb</f>
        <v>4.82329937245696</v>
      </c>
      <c r="C23" s="27" t="n">
        <v>4.82329937245696</v>
      </c>
      <c r="D23" s="29" t="n">
        <f aca="false">IF(C23=0,B23,B23/C23-1)</f>
        <v>0</v>
      </c>
      <c r="E23" s="0" t="str">
        <f aca="false">IF(ABS(D23)&lt;0.000001,"PASS","FAIL")</f>
        <v>PASS</v>
      </c>
    </row>
    <row r="24" customFormat="false" ht="15" hidden="false" customHeight="false" outlineLevel="0" collapsed="false">
      <c r="A24" s="0" t="s">
        <v>528</v>
      </c>
      <c r="B24" s="27" t="n">
        <f aca="false">x_pb_eq</f>
        <v>3.61274648406572</v>
      </c>
      <c r="C24" s="27" t="n">
        <v>3.61274648406572</v>
      </c>
      <c r="D24" s="29" t="n">
        <f aca="false">IF(C24=0,B24,B24/C24-1)</f>
        <v>0</v>
      </c>
      <c r="E24" s="0" t="str">
        <f aca="false">IF(ABS(D24)&lt;0.000001,"PASS","FAIL")</f>
        <v>PASS</v>
      </c>
    </row>
    <row r="25" customFormat="false" ht="15" hidden="false" customHeight="false" outlineLevel="0" collapsed="false">
      <c r="A25" s="0" t="s">
        <v>529</v>
      </c>
      <c r="B25" s="27" t="n">
        <f aca="false">x_lcoe</f>
        <v>0.0785005755390346</v>
      </c>
      <c r="C25" s="27" t="n">
        <v>0.0785005755390346</v>
      </c>
      <c r="D25" s="29" t="n">
        <f aca="false">IF(C25=0,B25,B25/C25-1)</f>
        <v>0</v>
      </c>
      <c r="E25" s="0" t="str">
        <f aca="false">IF(ABS(D25)&lt;0.000001,"PASS","FAIL")</f>
        <v>PASS</v>
      </c>
    </row>
    <row r="26" customFormat="false" ht="15" hidden="false" customHeight="false" outlineLevel="0" collapsed="false">
      <c r="A26" s="0" t="s">
        <v>530</v>
      </c>
      <c r="B26" s="27" t="n">
        <f aca="false">x_min_dscr</f>
        <v>1.90963379252563</v>
      </c>
      <c r="C26" s="27" t="n">
        <v>1.90963379252563</v>
      </c>
      <c r="D26" s="29" t="n">
        <f aca="false">IF(C26=0,B26,B26/C26-1)</f>
        <v>0</v>
      </c>
      <c r="E26" s="0" t="str">
        <f aca="false">IF(ABS(D26)&lt;0.000001,"PASS","FAIL")</f>
        <v>PASS</v>
      </c>
    </row>
    <row r="27" customFormat="false" ht="15" hidden="false" customHeight="false" outlineLevel="0" collapsed="false">
      <c r="A27" s="0" t="s">
        <v>531</v>
      </c>
      <c r="B27" s="27" t="n">
        <f aca="false">x_avg_dscr</f>
        <v>2.35685055325407</v>
      </c>
      <c r="C27" s="27" t="n">
        <v>2.35685055325407</v>
      </c>
      <c r="D27" s="29" t="n">
        <f aca="false">IF(C27=0,B27,B27/C27-1)</f>
        <v>0</v>
      </c>
      <c r="E27" s="0" t="str">
        <f aca="false">IF(ABS(D27)&lt;0.000001,"PASS","FAIL")</f>
        <v>PASS</v>
      </c>
    </row>
    <row r="28" customFormat="false" ht="15" hidden="false" customHeight="false" outlineLevel="0" collapsed="false">
      <c r="A28" s="0" t="s">
        <v>532</v>
      </c>
      <c r="B28" s="27" t="n">
        <f aca="false">x_llcr</f>
        <v>2.34182498304241</v>
      </c>
      <c r="C28" s="27" t="n">
        <v>2.34182498304241</v>
      </c>
      <c r="D28" s="29" t="n">
        <f aca="false">IF(C28=0,B28,B28/C28-1)</f>
        <v>0</v>
      </c>
      <c r="E28" s="0" t="str">
        <f aca="false">IF(ABS(D28)&lt;0.000001,"PASS","FAIL")</f>
        <v>PASS</v>
      </c>
    </row>
    <row r="29" customFormat="false" ht="15" hidden="false" customHeight="false" outlineLevel="0" collapsed="false">
      <c r="A29" s="0" t="s">
        <v>533</v>
      </c>
      <c r="B29" s="27" t="n">
        <f aca="false">x_wacc</f>
        <v>0.1536005</v>
      </c>
      <c r="C29" s="27" t="n">
        <v>0.1536005</v>
      </c>
      <c r="D29" s="29" t="n">
        <f aca="false">IF(C29=0,B29,B29/C29-1)</f>
        <v>0</v>
      </c>
      <c r="E29" s="0" t="str">
        <f aca="false">IF(ABS(D29)&lt;0.000001,"PASS","FAIL")</f>
        <v>PASS</v>
      </c>
    </row>
    <row r="31" customFormat="false" ht="15" hidden="false" customHeight="false" outlineLevel="0" collapsed="false">
      <c r="A31" s="3" t="s">
        <v>534</v>
      </c>
      <c r="E31" s="3" t="str">
        <f aca="false">IF(COUNTIF(E2:E29,"PASS")=28,"ALL PASS","CHECK FAILURES")</f>
        <v>ALL PASS</v>
      </c>
    </row>
    <row r="32" customFormat="false" ht="15" hidden="false" customHeight="false" outlineLevel="0" collapsed="false">
      <c r="A32" s="0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4" t="s">
        <v>536</v>
      </c>
      <c r="B1" s="4" t="s">
        <v>537</v>
      </c>
      <c r="C1" s="4" t="s">
        <v>538</v>
      </c>
      <c r="D1" s="4" t="s">
        <v>539</v>
      </c>
      <c r="E1" s="4" t="s">
        <v>540</v>
      </c>
      <c r="F1" s="4" t="s">
        <v>541</v>
      </c>
    </row>
    <row r="2" customFormat="false" ht="41.75" hidden="false" customHeight="false" outlineLevel="0" collapsed="false">
      <c r="A2" s="30" t="s">
        <v>31</v>
      </c>
      <c r="B2" s="30" t="s">
        <v>542</v>
      </c>
      <c r="C2" s="30" t="s">
        <v>543</v>
      </c>
      <c r="D2" s="30" t="s">
        <v>544</v>
      </c>
      <c r="E2" s="30" t="s">
        <v>545</v>
      </c>
      <c r="F2" s="30" t="s">
        <v>546</v>
      </c>
    </row>
    <row r="3" customFormat="false" ht="41.75" hidden="false" customHeight="false" outlineLevel="0" collapsed="false">
      <c r="A3" s="30" t="s">
        <v>242</v>
      </c>
      <c r="B3" s="30" t="s">
        <v>547</v>
      </c>
      <c r="C3" s="30" t="s">
        <v>543</v>
      </c>
      <c r="D3" s="30" t="s">
        <v>544</v>
      </c>
      <c r="E3" s="30" t="s">
        <v>548</v>
      </c>
      <c r="F3" s="30" t="s">
        <v>549</v>
      </c>
    </row>
    <row r="4" customFormat="false" ht="41.75" hidden="false" customHeight="false" outlineLevel="0" collapsed="false">
      <c r="A4" s="30" t="s">
        <v>550</v>
      </c>
      <c r="B4" s="30" t="s">
        <v>551</v>
      </c>
      <c r="C4" s="30" t="s">
        <v>552</v>
      </c>
      <c r="D4" s="30" t="s">
        <v>544</v>
      </c>
      <c r="E4" s="30" t="s">
        <v>553</v>
      </c>
      <c r="F4" s="30" t="s">
        <v>554</v>
      </c>
    </row>
    <row r="5" customFormat="false" ht="28.35" hidden="false" customHeight="false" outlineLevel="0" collapsed="false">
      <c r="A5" s="30" t="s">
        <v>36</v>
      </c>
      <c r="B5" s="30" t="s">
        <v>555</v>
      </c>
      <c r="C5" s="30" t="s">
        <v>556</v>
      </c>
      <c r="D5" s="30" t="s">
        <v>544</v>
      </c>
      <c r="E5" s="30" t="s">
        <v>557</v>
      </c>
      <c r="F5" s="30" t="s">
        <v>558</v>
      </c>
    </row>
    <row r="6" customFormat="false" ht="28.35" hidden="false" customHeight="false" outlineLevel="0" collapsed="false">
      <c r="A6" s="30" t="s">
        <v>62</v>
      </c>
      <c r="B6" s="30" t="s">
        <v>559</v>
      </c>
      <c r="C6" s="30" t="s">
        <v>560</v>
      </c>
      <c r="D6" s="30" t="s">
        <v>561</v>
      </c>
      <c r="E6" s="30" t="s">
        <v>562</v>
      </c>
      <c r="F6" s="30" t="s">
        <v>563</v>
      </c>
    </row>
    <row r="7" customFormat="false" ht="28.35" hidden="false" customHeight="false" outlineLevel="0" collapsed="false">
      <c r="A7" s="30" t="s">
        <v>564</v>
      </c>
      <c r="B7" s="30" t="s">
        <v>565</v>
      </c>
      <c r="C7" s="30" t="s">
        <v>566</v>
      </c>
      <c r="D7" s="30" t="s">
        <v>567</v>
      </c>
      <c r="E7" s="30" t="s">
        <v>568</v>
      </c>
      <c r="F7" s="30" t="s">
        <v>569</v>
      </c>
    </row>
    <row r="8" customFormat="false" ht="28.35" hidden="false" customHeight="false" outlineLevel="0" collapsed="false">
      <c r="A8" s="30" t="s">
        <v>219</v>
      </c>
      <c r="B8" s="30" t="s">
        <v>570</v>
      </c>
      <c r="C8" s="30" t="s">
        <v>571</v>
      </c>
      <c r="D8" s="30" t="s">
        <v>572</v>
      </c>
      <c r="E8" s="30" t="s">
        <v>573</v>
      </c>
      <c r="F8" s="30" t="s">
        <v>574</v>
      </c>
    </row>
    <row r="9" customFormat="false" ht="28.35" hidden="false" customHeight="false" outlineLevel="0" collapsed="false">
      <c r="A9" s="30" t="s">
        <v>67</v>
      </c>
      <c r="B9" s="30" t="s">
        <v>575</v>
      </c>
      <c r="C9" s="30" t="s">
        <v>576</v>
      </c>
      <c r="D9" s="30" t="s">
        <v>577</v>
      </c>
      <c r="E9" s="30" t="s">
        <v>578</v>
      </c>
      <c r="F9" s="30" t="s">
        <v>579</v>
      </c>
    </row>
    <row r="10" customFormat="false" ht="41.75" hidden="false" customHeight="false" outlineLevel="0" collapsed="false">
      <c r="A10" s="30" t="s">
        <v>51</v>
      </c>
      <c r="B10" s="30" t="s">
        <v>580</v>
      </c>
      <c r="C10" s="30" t="s">
        <v>581</v>
      </c>
      <c r="D10" s="30" t="s">
        <v>582</v>
      </c>
      <c r="E10" s="30" t="s">
        <v>583</v>
      </c>
      <c r="F10" s="30" t="s">
        <v>584</v>
      </c>
    </row>
    <row r="11" customFormat="false" ht="28.35" hidden="false" customHeight="false" outlineLevel="0" collapsed="false">
      <c r="A11" s="30" t="s">
        <v>95</v>
      </c>
      <c r="B11" s="30" t="s">
        <v>585</v>
      </c>
      <c r="C11" s="30" t="s">
        <v>586</v>
      </c>
      <c r="D11" s="30" t="s">
        <v>587</v>
      </c>
      <c r="E11" s="30" t="s">
        <v>588</v>
      </c>
      <c r="F11" s="30" t="s">
        <v>589</v>
      </c>
    </row>
    <row r="12" customFormat="false" ht="41.75" hidden="false" customHeight="false" outlineLevel="0" collapsed="false">
      <c r="A12" s="30" t="s">
        <v>123</v>
      </c>
      <c r="B12" s="30" t="s">
        <v>590</v>
      </c>
      <c r="C12" s="30" t="s">
        <v>591</v>
      </c>
      <c r="D12" s="30" t="s">
        <v>592</v>
      </c>
      <c r="E12" s="30" t="s">
        <v>593</v>
      </c>
      <c r="F12" s="30" t="s">
        <v>594</v>
      </c>
    </row>
    <row r="13" customFormat="false" ht="28.35" hidden="false" customHeight="false" outlineLevel="0" collapsed="false">
      <c r="A13" s="30" t="s">
        <v>153</v>
      </c>
      <c r="B13" s="30" t="s">
        <v>595</v>
      </c>
      <c r="C13" s="30" t="s">
        <v>596</v>
      </c>
      <c r="D13" s="30" t="s">
        <v>597</v>
      </c>
      <c r="E13" s="30" t="s">
        <v>598</v>
      </c>
      <c r="F13" s="30" t="s">
        <v>599</v>
      </c>
    </row>
    <row r="14" customFormat="false" ht="28.35" hidden="false" customHeight="false" outlineLevel="0" collapsed="false">
      <c r="A14" s="30" t="s">
        <v>150</v>
      </c>
      <c r="B14" s="30" t="s">
        <v>600</v>
      </c>
      <c r="C14" s="30" t="s">
        <v>601</v>
      </c>
      <c r="D14" s="30" t="s">
        <v>602</v>
      </c>
      <c r="E14" s="30" t="s">
        <v>603</v>
      </c>
      <c r="F14" s="30" t="s">
        <v>604</v>
      </c>
    </row>
    <row r="15" customFormat="false" ht="15" hidden="false" customHeight="false" outlineLevel="0" collapsed="false">
      <c r="A15" s="30" t="s">
        <v>605</v>
      </c>
      <c r="B15" s="30" t="s">
        <v>606</v>
      </c>
      <c r="C15" s="30" t="s">
        <v>607</v>
      </c>
      <c r="D15" s="30" t="s">
        <v>608</v>
      </c>
      <c r="E15" s="30" t="s">
        <v>609</v>
      </c>
      <c r="F15" s="30" t="s">
        <v>610</v>
      </c>
    </row>
    <row r="16" customFormat="false" ht="15" hidden="false" customHeight="false" outlineLevel="0" collapsed="false">
      <c r="A16" s="30" t="s">
        <v>130</v>
      </c>
      <c r="B16" s="30" t="s">
        <v>611</v>
      </c>
      <c r="C16" s="30" t="s">
        <v>612</v>
      </c>
      <c r="D16" s="30" t="s">
        <v>613</v>
      </c>
      <c r="E16" s="30" t="s">
        <v>614</v>
      </c>
      <c r="F16" s="30" t="s">
        <v>615</v>
      </c>
    </row>
    <row r="17" customFormat="false" ht="28.35" hidden="false" customHeight="false" outlineLevel="0" collapsed="false">
      <c r="A17" s="30" t="s">
        <v>616</v>
      </c>
      <c r="B17" s="30" t="s">
        <v>617</v>
      </c>
      <c r="C17" s="30" t="s">
        <v>618</v>
      </c>
      <c r="D17" s="30" t="s">
        <v>619</v>
      </c>
      <c r="E17" s="30" t="s">
        <v>620</v>
      </c>
      <c r="F17" s="30" t="s">
        <v>621</v>
      </c>
    </row>
    <row r="18" customFormat="false" ht="28.35" hidden="false" customHeight="false" outlineLevel="0" collapsed="false">
      <c r="A18" s="30" t="s">
        <v>622</v>
      </c>
      <c r="B18" s="30" t="s">
        <v>623</v>
      </c>
      <c r="C18" s="30" t="s">
        <v>624</v>
      </c>
      <c r="D18" s="30" t="s">
        <v>625</v>
      </c>
      <c r="E18" s="30" t="s">
        <v>626</v>
      </c>
      <c r="F18" s="30" t="s">
        <v>627</v>
      </c>
    </row>
    <row r="19" customFormat="false" ht="28.35" hidden="false" customHeight="false" outlineLevel="0" collapsed="false">
      <c r="A19" s="30" t="s">
        <v>113</v>
      </c>
      <c r="B19" s="30" t="s">
        <v>628</v>
      </c>
      <c r="C19" s="30" t="s">
        <v>629</v>
      </c>
      <c r="D19" s="30" t="s">
        <v>630</v>
      </c>
      <c r="E19" s="30" t="s">
        <v>631</v>
      </c>
      <c r="F19" s="30" t="s">
        <v>632</v>
      </c>
    </row>
    <row r="20" customFormat="false" ht="41.75" hidden="false" customHeight="false" outlineLevel="0" collapsed="false">
      <c r="A20" s="30" t="s">
        <v>633</v>
      </c>
      <c r="B20" s="30" t="s">
        <v>634</v>
      </c>
      <c r="C20" s="30" t="s">
        <v>635</v>
      </c>
      <c r="D20" s="30" t="s">
        <v>636</v>
      </c>
      <c r="E20" s="30" t="s">
        <v>637</v>
      </c>
      <c r="F20" s="30" t="s">
        <v>638</v>
      </c>
    </row>
    <row r="21" customFormat="false" ht="28.35" hidden="false" customHeight="false" outlineLevel="0" collapsed="false">
      <c r="A21" s="30" t="s">
        <v>167</v>
      </c>
      <c r="B21" s="30" t="s">
        <v>639</v>
      </c>
      <c r="C21" s="30" t="s">
        <v>640</v>
      </c>
      <c r="D21" s="30" t="s">
        <v>641</v>
      </c>
      <c r="E21" s="30" t="s">
        <v>642</v>
      </c>
      <c r="F21" s="30" t="s">
        <v>643</v>
      </c>
    </row>
    <row r="22" customFormat="false" ht="28.35" hidden="false" customHeight="false" outlineLevel="0" collapsed="false">
      <c r="A22" s="30" t="s">
        <v>644</v>
      </c>
      <c r="B22" s="30" t="s">
        <v>645</v>
      </c>
      <c r="C22" s="30" t="s">
        <v>646</v>
      </c>
      <c r="D22" s="30" t="s">
        <v>647</v>
      </c>
      <c r="E22" s="30" t="s">
        <v>648</v>
      </c>
      <c r="F22" s="30" t="s">
        <v>649</v>
      </c>
    </row>
    <row r="23" customFormat="false" ht="28.35" hidden="false" customHeight="false" outlineLevel="0" collapsed="false">
      <c r="A23" s="30" t="s">
        <v>650</v>
      </c>
      <c r="B23" s="30" t="s">
        <v>651</v>
      </c>
      <c r="C23" s="30" t="s">
        <v>652</v>
      </c>
      <c r="D23" s="30" t="s">
        <v>653</v>
      </c>
      <c r="E23" s="30" t="s">
        <v>654</v>
      </c>
      <c r="F23" s="30" t="s">
        <v>655</v>
      </c>
    </row>
    <row r="24" customFormat="false" ht="28.35" hidden="false" customHeight="false" outlineLevel="0" collapsed="false">
      <c r="A24" s="30" t="s">
        <v>656</v>
      </c>
      <c r="B24" s="30" t="s">
        <v>657</v>
      </c>
      <c r="C24" s="30" t="s">
        <v>576</v>
      </c>
      <c r="D24" s="30" t="s">
        <v>658</v>
      </c>
      <c r="E24" s="30" t="s">
        <v>659</v>
      </c>
      <c r="F24" s="30" t="s">
        <v>660</v>
      </c>
    </row>
    <row r="25" customFormat="false" ht="41.75" hidden="false" customHeight="false" outlineLevel="0" collapsed="false">
      <c r="A25" s="30" t="s">
        <v>661</v>
      </c>
      <c r="B25" s="30" t="s">
        <v>662</v>
      </c>
      <c r="C25" s="30" t="s">
        <v>663</v>
      </c>
      <c r="D25" s="30" t="s">
        <v>664</v>
      </c>
      <c r="E25" s="30" t="s">
        <v>665</v>
      </c>
      <c r="F25" s="30" t="s">
        <v>666</v>
      </c>
    </row>
    <row r="26" customFormat="false" ht="28.35" hidden="false" customHeight="false" outlineLevel="0" collapsed="false">
      <c r="A26" s="30" t="s">
        <v>175</v>
      </c>
      <c r="B26" s="30" t="s">
        <v>667</v>
      </c>
      <c r="C26" s="30" t="s">
        <v>668</v>
      </c>
      <c r="D26" s="30" t="s">
        <v>669</v>
      </c>
      <c r="E26" s="30" t="s">
        <v>670</v>
      </c>
      <c r="F26" s="30" t="s">
        <v>671</v>
      </c>
    </row>
    <row r="27" customFormat="false" ht="28.35" hidden="false" customHeight="false" outlineLevel="0" collapsed="false">
      <c r="A27" s="30" t="s">
        <v>172</v>
      </c>
      <c r="B27" s="30" t="s">
        <v>672</v>
      </c>
      <c r="C27" s="30" t="s">
        <v>673</v>
      </c>
      <c r="D27" s="30" t="s">
        <v>674</v>
      </c>
      <c r="E27" s="30" t="s">
        <v>675</v>
      </c>
      <c r="F27" s="30" t="s">
        <v>676</v>
      </c>
    </row>
    <row r="28" customFormat="false" ht="28.35" hidden="false" customHeight="false" outlineLevel="0" collapsed="false">
      <c r="A28" s="30" t="s">
        <v>204</v>
      </c>
      <c r="B28" s="30" t="s">
        <v>677</v>
      </c>
      <c r="C28" s="30" t="s">
        <v>678</v>
      </c>
      <c r="D28" s="30" t="s">
        <v>679</v>
      </c>
      <c r="E28" s="30" t="s">
        <v>680</v>
      </c>
      <c r="F28" s="30" t="s">
        <v>681</v>
      </c>
    </row>
    <row r="29" customFormat="false" ht="41.75" hidden="false" customHeight="false" outlineLevel="0" collapsed="false">
      <c r="A29" s="30" t="s">
        <v>184</v>
      </c>
      <c r="B29" s="30" t="s">
        <v>682</v>
      </c>
      <c r="C29" s="30" t="s">
        <v>683</v>
      </c>
      <c r="D29" s="30" t="s">
        <v>613</v>
      </c>
      <c r="E29" s="30" t="s">
        <v>684</v>
      </c>
      <c r="F29" s="30" t="s">
        <v>685</v>
      </c>
    </row>
    <row r="30" customFormat="false" ht="28.35" hidden="false" customHeight="false" outlineLevel="0" collapsed="false">
      <c r="A30" s="30" t="s">
        <v>189</v>
      </c>
      <c r="B30" s="30" t="s">
        <v>686</v>
      </c>
      <c r="C30" s="30" t="s">
        <v>687</v>
      </c>
      <c r="D30" s="30" t="s">
        <v>688</v>
      </c>
      <c r="E30" s="30" t="s">
        <v>689</v>
      </c>
      <c r="F30" s="30" t="s">
        <v>690</v>
      </c>
    </row>
    <row r="31" customFormat="false" ht="41.75" hidden="false" customHeight="false" outlineLevel="0" collapsed="false">
      <c r="A31" s="30" t="s">
        <v>157</v>
      </c>
      <c r="B31" s="30" t="s">
        <v>691</v>
      </c>
      <c r="C31" s="30" t="s">
        <v>692</v>
      </c>
      <c r="D31" s="30" t="s">
        <v>693</v>
      </c>
      <c r="E31" s="30" t="s">
        <v>694</v>
      </c>
      <c r="F31" s="30" t="s">
        <v>695</v>
      </c>
    </row>
    <row r="32" customFormat="false" ht="28.35" hidden="false" customHeight="false" outlineLevel="0" collapsed="false">
      <c r="A32" s="30" t="s">
        <v>164</v>
      </c>
      <c r="B32" s="30" t="s">
        <v>696</v>
      </c>
      <c r="C32" s="30" t="s">
        <v>697</v>
      </c>
      <c r="D32" s="30" t="s">
        <v>698</v>
      </c>
      <c r="E32" s="30" t="s">
        <v>699</v>
      </c>
      <c r="F32" s="30" t="s">
        <v>700</v>
      </c>
    </row>
    <row r="33" customFormat="false" ht="28.35" hidden="false" customHeight="false" outlineLevel="0" collapsed="false">
      <c r="A33" s="30" t="s">
        <v>58</v>
      </c>
      <c r="B33" s="30" t="s">
        <v>701</v>
      </c>
      <c r="C33" s="30" t="s">
        <v>702</v>
      </c>
      <c r="D33" s="30" t="s">
        <v>703</v>
      </c>
      <c r="E33" s="30" t="s">
        <v>704</v>
      </c>
      <c r="F33" s="30" t="s">
        <v>705</v>
      </c>
    </row>
    <row r="34" customFormat="false" ht="28.35" hidden="false" customHeight="false" outlineLevel="0" collapsed="false">
      <c r="A34" s="30" t="s">
        <v>23</v>
      </c>
      <c r="B34" s="30" t="s">
        <v>706</v>
      </c>
      <c r="C34" s="30" t="s">
        <v>707</v>
      </c>
      <c r="D34" s="30" t="s">
        <v>708</v>
      </c>
      <c r="E34" s="30" t="s">
        <v>709</v>
      </c>
      <c r="F34" s="30" t="s">
        <v>710</v>
      </c>
    </row>
    <row r="35" customFormat="false" ht="28.35" hidden="false" customHeight="false" outlineLevel="0" collapsed="false">
      <c r="A35" s="30" t="s">
        <v>711</v>
      </c>
      <c r="B35" s="30" t="s">
        <v>712</v>
      </c>
      <c r="C35" s="30" t="s">
        <v>713</v>
      </c>
      <c r="D35" s="30" t="s">
        <v>714</v>
      </c>
      <c r="E35" s="30" t="s">
        <v>715</v>
      </c>
      <c r="F35" s="30" t="s">
        <v>716</v>
      </c>
    </row>
    <row r="36" customFormat="false" ht="28.35" hidden="false" customHeight="false" outlineLevel="0" collapsed="false">
      <c r="A36" s="30" t="s">
        <v>717</v>
      </c>
      <c r="B36" s="30" t="s">
        <v>718</v>
      </c>
      <c r="C36" s="30" t="s">
        <v>719</v>
      </c>
      <c r="D36" s="30" t="s">
        <v>720</v>
      </c>
      <c r="E36" s="30" t="s">
        <v>721</v>
      </c>
      <c r="F36" s="30" t="s">
        <v>722</v>
      </c>
    </row>
    <row r="37" customFormat="false" ht="41.75" hidden="false" customHeight="false" outlineLevel="0" collapsed="false">
      <c r="A37" s="30" t="s">
        <v>723</v>
      </c>
      <c r="B37" s="30" t="s">
        <v>724</v>
      </c>
      <c r="C37" s="30" t="s">
        <v>725</v>
      </c>
      <c r="D37" s="30" t="s">
        <v>726</v>
      </c>
      <c r="E37" s="30" t="s">
        <v>727</v>
      </c>
      <c r="F37" s="30" t="s">
        <v>728</v>
      </c>
    </row>
    <row r="38" customFormat="false" ht="28.35" hidden="false" customHeight="false" outlineLevel="0" collapsed="false">
      <c r="A38" s="30" t="s">
        <v>75</v>
      </c>
      <c r="B38" s="30" t="s">
        <v>729</v>
      </c>
      <c r="C38" s="30" t="s">
        <v>730</v>
      </c>
      <c r="D38" s="30" t="s">
        <v>731</v>
      </c>
      <c r="E38" s="30" t="s">
        <v>732</v>
      </c>
      <c r="F38" s="30" t="s">
        <v>733</v>
      </c>
    </row>
    <row r="39" customFormat="false" ht="28.35" hidden="false" customHeight="false" outlineLevel="0" collapsed="false">
      <c r="A39" s="30" t="s">
        <v>734</v>
      </c>
      <c r="B39" s="30" t="s">
        <v>735</v>
      </c>
      <c r="C39" s="30" t="s">
        <v>596</v>
      </c>
      <c r="D39" s="30" t="s">
        <v>736</v>
      </c>
      <c r="E39" s="30" t="s">
        <v>737</v>
      </c>
      <c r="F39" s="30" t="s">
        <v>738</v>
      </c>
    </row>
    <row r="40" customFormat="false" ht="28.35" hidden="false" customHeight="false" outlineLevel="0" collapsed="false">
      <c r="A40" s="30" t="s">
        <v>739</v>
      </c>
      <c r="B40" s="30" t="s">
        <v>740</v>
      </c>
      <c r="C40" s="30" t="s">
        <v>741</v>
      </c>
      <c r="D40" s="30" t="s">
        <v>742</v>
      </c>
      <c r="E40" s="30" t="s">
        <v>743</v>
      </c>
      <c r="F40" s="30" t="s">
        <v>744</v>
      </c>
    </row>
    <row r="41" customFormat="false" ht="28.35" hidden="false" customHeight="false" outlineLevel="0" collapsed="false">
      <c r="A41" s="30" t="s">
        <v>745</v>
      </c>
      <c r="B41" s="30" t="s">
        <v>746</v>
      </c>
      <c r="C41" s="30" t="s">
        <v>747</v>
      </c>
      <c r="D41" s="30" t="s">
        <v>748</v>
      </c>
      <c r="E41" s="30" t="s">
        <v>749</v>
      </c>
      <c r="F41" s="30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2026-10-14T01:33:05Z</dcterms:created>
  <dc:creator>openpyxl</dc:creator>
  <dc:description/>
  <dc:language>en-US</dc:language>
  <cp:lastModifiedBy/>
  <dcterms:modified xsi:type="dcterms:W3CDTF">2026-10-14T01:33:05Z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
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Assumptions" sheetId="3" state="visible" r:id="rId5"/>
    <sheet name="IS" sheetId="4" state="visible" r:id="rId6"/>
    <sheet name="BS" sheetId="5" state="visible" r:id="rId7"/>
    <sheet name="CF" sheetId="6" state="visible" r:id="rId8"/>
    <sheet name="Ratios" sheetId="7" state="visible" r:id="rId9"/>
    <sheet name="Debt_Schedule" sheetId="8" state="visible" r:id="rId10"/>
    <sheet name="Projections" sheetId="9" state="visible" r:id="rId11"/>
    <sheet name="Sensitivity" sheetId="10" state="visible" r:id="rId12"/>
    <sheet name="Collateral" sheetId="11" state="visible" r:id="rId13"/>
    <sheet name="Scorecard" sheetId="12" state="visible" r:id="rId14"/>
    <sheet name="Check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<sst xmlns="http://schemas.openxmlformats.org/spreadsheetml/2006/main" count="619" uniqueCount="439">
  <si>
    <t xml:space="preserve">Bank of Aleppo Commercial (BAC) — Corporate Credit Model</t>
  </si>
  <si>
    <t xml:space="preserve">Borrower: Qalaa Olive &amp; Laurel Industries LLC  |  Term Loan USD 2.4m + Revolver USD 0.9m</t>
  </si>
  <si>
    <t xml:space="preserve">Prepared by: Yamen Agha, Credit Analyst (portfolio case study)  |  Units: USD '000 unless stated</t>
  </si>
  <si>
    <t xml:space="preserve">DISCLAIMER</t>
  </si>
  <si>
    <t xml:space="preserve">All names, companies, the bank and every figure in this workbook are FICTIONAL and for illustration only. Bank of Aleppo Commercial is not a real bank; Qalaa Olive &amp; Laurel Industries LLC is not a real company. Macro references describe the general post-2025 Syrian context. This is not a real credit decision or investment advice.</t>
  </si>
  <si>
    <t xml:space="preserve">Sheet</t>
  </si>
  <si>
    <t xml:space="preserve">What it does</t>
  </si>
  <si>
    <t xml:space="preserve">Dashboard</t>
  </si>
  <si>
    <t xml:space="preserve">Key outputs: facilities, DSCR by scenario, leverage, LTV, rating, checks, charts</t>
  </si>
  <si>
    <t xml:space="preserve">Assumptions</t>
  </si>
  <si>
    <t xml:space="preserve">All inputs: facility terms, projection drivers, scenario shocks (blue cells)</t>
  </si>
  <si>
    <t xml:space="preserve">IS / BS / CF</t>
  </si>
  <si>
    <t xml:space="preserve">Three years of historical statements (FY2023–FY2025) with FY2022 opening balance sheet; CF derived from BS movements</t>
  </si>
  <si>
    <t xml:space="preserve">Ratios</t>
  </si>
  <si>
    <t xml:space="preserve">Profitability, liquidity, leverage, coverage and efficiency ratios</t>
  </si>
  <si>
    <t xml:space="preserve">Debt_Schedule</t>
  </si>
  <si>
    <t xml:space="preserve">Term loan, revolver and existing loan schedules: balances, interest, principal</t>
  </si>
  <si>
    <t xml:space="preserve">Projections</t>
  </si>
  <si>
    <t xml:space="preserve">Five-year base case plus Downside, FX shock and Combined severe stress cases with DSCR and covenant tests</t>
  </si>
  <si>
    <t xml:space="preserve">Sensitivity</t>
  </si>
  <si>
    <t xml:space="preserve">FY2028 DSCR grid: sales decline x SYP depreciation, fully formula-driven</t>
  </si>
  <si>
    <t xml:space="preserve">Collateral</t>
  </si>
  <si>
    <t xml:space="preserve">Market values, haircuts, lending values, LTV and coverage</t>
  </si>
  <si>
    <t xml:space="preserve">Scorecard</t>
  </si>
  <si>
    <t xml:space="preserve">Internal risk rating scorecard (weighted factors -&gt; BAC grade)</t>
  </si>
  <si>
    <t xml:space="preserve">Checks</t>
  </si>
  <si>
    <t xml:space="preserve">Integrity checks: balance sheet balances, cash ties, grid reconciles, loans repaid</t>
  </si>
  <si>
    <t xml:space="preserve">Colour code</t>
  </si>
  <si>
    <t xml:space="preserve">1,000</t>
  </si>
  <si>
    <t xml:space="preserve">Hard-coded input / assumption</t>
  </si>
  <si>
    <t xml:space="preserve">Formula</t>
  </si>
  <si>
    <t xml:space="preserve">Link to another sheet</t>
  </si>
  <si>
    <t xml:space="preserve">Dashboard – Key Credit Metrics</t>
  </si>
  <si>
    <t xml:space="preserve">Qalaa Olive &amp; Laurel Industries LLC (fictional) | Bank of Aleppo Commercial (fictional) | USD '000</t>
  </si>
  <si>
    <t xml:space="preserve">Facilities</t>
  </si>
  <si>
    <t xml:space="preserve">Facility A – Term loan</t>
  </si>
  <si>
    <t xml:space="preserve">Facility B – Revolver limit</t>
  </si>
  <si>
    <t xml:space="preserve">Total exposure</t>
  </si>
  <si>
    <t xml:space="preserve">Pro-forma Debt / EBITDA at drawdown</t>
  </si>
  <si>
    <t xml:space="preserve">LTV on market value</t>
  </si>
  <si>
    <t xml:space="preserve">LTV on lending value</t>
  </si>
  <si>
    <t xml:space="preserve">Collateral coverage</t>
  </si>
  <si>
    <t xml:space="preserve">Internal rating</t>
  </si>
  <si>
    <t xml:space="preserve">Scorecard total</t>
  </si>
  <si>
    <t xml:space="preserve">All integrity checks pass</t>
  </si>
  <si>
    <t xml:space="preserve">DSCR by scenario</t>
  </si>
  <si>
    <t xml:space="preserve">Scenario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</si>
  <si>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</si>
  <si>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</si>
  <si>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</si>
  <si>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</si>
  <si>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</si>
  <si>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Minimum</t>
  </si>
  <si>
    <t xml:space="preserve">Base</t>
  </si>
  <si>
    <t xml:space="preserve">Downside</t>
  </si>
  <si>
    <t xml:space="preserve">FX shock</t>
  </si>
  <si>
    <t xml:space="preserve">Combined</t>
  </si>
  <si>
    <t xml:space="preserve">Covenant minimum</t>
  </si>
  <si>
    <t xml:space="preserve">Base case revenue &amp; EBITDA</t>
  </si>
  <si>
    <t xml:space="preserve">USD '000</t>
  </si>
  <si>
    <t xml:space="preserve">Revenue</t>
  </si>
  <si>
    <t xml:space="preserve">EBITDA</t>
  </si>
  <si>
    <t xml:space="preserve">Total debt (year end)</t>
  </si>
  <si>
    <t xml:space="preserve">Assumptions &amp; Inputs</t>
  </si>
  <si>
    <t xml:space="preserve">Blue cells are inputs. Change them and every sheet recalculates. USD '000.</t>
  </si>
  <si>
    <t xml:space="preserve">1. General</t>
  </si>
  <si>
    <t xml:space="preserve">Corporate income tax rate (assumed)</t>
  </si>
  <si>
    <t xml:space="preserve">Illustrative effective rate</t>
  </si>
  <si>
    <t xml:space="preserve">Export share of revenue (projection)</t>
  </si>
  <si>
    <t xml:space="preserve">Gulf, Iraq, Jordan, EU</t>
  </si>
  <si>
    <t xml:space="preserve">Share of operating costs paid in SYP</t>
  </si>
  <si>
    <t xml:space="preserve">Wages, local services</t>
  </si>
  <si>
    <t xml:space="preserve">Net working capital, % of revenue</t>
  </si>
  <si>
    <t xml:space="preserve">FY2025 actual ~28%</t>
  </si>
  <si>
    <t xml:space="preserve">Maintenance capex, % of revenue</t>
  </si>
  <si>
    <t xml:space="preserve">2. Proposed BAC facilities</t>
  </si>
  <si>
    <t xml:space="preserve">Facility A – Term loan amount</t>
  </si>
  <si>
    <t xml:space="preserve">Equipment + solar PV</t>
  </si>
  <si>
    <t xml:space="preserve">Total project cost</t>
  </si>
  <si>
    <t xml:space="preserve">75% debt / 25% sponsor equity</t>
  </si>
  <si>
    <t xml:space="preserve">Facility A – all-in rate (3M Term SOFR 3.75% + 6.00%)</t>
  </si>
  <si>
    <t xml:space="preserve">Floor 9.25%</t>
  </si>
  <si>
    <t xml:space="preserve">Facility A – principal grace (years)</t>
  </si>
  <si>
    <t xml:space="preserve">Interest-only in FY2027</t>
  </si>
  <si>
    <t xml:space="preserve">Facility A – amortisation period (years)</t>
  </si>
  <si>
    <t xml:space="preserve">16 equal quarterly instalments</t>
  </si>
  <si>
    <t xml:space="preserve">Harvest stock + export receivables</t>
  </si>
  <si>
    <t xml:space="preserve">Facility B – all-in rate (3M Term SOFR 3.75% + 5.25%)</t>
  </si>
  <si>
    <t xml:space="preserve">Floor 8.75%</t>
  </si>
  <si>
    <t xml:space="preserve">Facility B – average utilisation</t>
  </si>
  <si>
    <t xml:space="preserve">Facility B – commitment fee on undrawn</t>
  </si>
  <si>
    <t xml:space="preserve">Arrangement fee (both facilities)</t>
  </si>
  <si>
    <t xml:space="preserve">Paid at signing</t>
  </si>
  <si>
    <t xml:space="preserve">DSRA – quarters of debt service held in cash</t>
  </si>
  <si>
    <t xml:space="preserve">Pledged to BAC</t>
  </si>
  <si>
    <t xml:space="preserve">3. Existing debt (permitted)</t>
  </si>
  <si>
    <t xml:space="preserve">Existing term loan – balance at drawdown (end FY2026E)</t>
  </si>
  <si>
    <t xml:space="preserve">Other local lender</t>
  </si>
  <si>
    <t xml:space="preserve">Existing term loan – annual repayment</t>
  </si>
  <si>
    <t xml:space="preserve">Matures FY2028</t>
  </si>
  <si>
    <t xml:space="preserve">Existing term loan – rate</t>
  </si>
  <si>
    <t xml:space="preserve">4. Projection drivers (base case)</t>
  </si>
  <si>
    <t xml:space="preserve">Driver</t>
  </si>
  <si>
    <t xml:space="preserve">Note</t>
  </si>
  <si>
    <t xml:space="preserve">FY2026E</t>
  </si>
  <si>
    <t xml:space="preserve">Core revenue FY2026E (existing lines)</t>
  </si>
  <si>
    <t xml:space="preserve">8M-2026 run-rate</t>
  </si>
  <si>
    <t xml:space="preserve">Core revenue growth</t>
  </si>
  <si>
    <t xml:space="preserve">Volume + price</t>
  </si>
  <si>
    <t xml:space="preserve">New-line revenue uplift on core</t>
  </si>
  <si>
    <t xml:space="preserve">Ramp-up of bottling line</t>
  </si>
  <si>
    <t xml:space="preserve">Raw materials, packaging &amp; labour, % revenue</t>
  </si>
  <si>
    <t xml:space="preserve">Premium Gulf packaging</t>
  </si>
  <si>
    <t xml:space="preserve">Energy cost, % revenue</t>
  </si>
  <si>
    <t xml:space="preserve">Solar PV from mid-FY2027</t>
  </si>
  <si>
    <t xml:space="preserve">Operating expenses FY2026E</t>
  </si>
  <si>
    <t xml:space="preserve">Operating expense growth</t>
  </si>
  <si>
    <t xml:space="preserve">D&amp;A – existing asset base</t>
  </si>
  <si>
    <t xml:space="preserve">Useful life of new equipment (years)</t>
  </si>
  <si>
    <t xml:space="preserve">5. Stress scenarios (applied FY2027–FY2031)</t>
  </si>
  <si>
    <t xml:space="preserve">Shock parameter</t>
  </si>
  <si>
    <t xml:space="preserve">Sales volume change vs base</t>
  </si>
  <si>
    <t xml:space="preserve">SYP depreciation vs USD</t>
  </si>
  <si>
    <t xml:space="preserve">+50% = USD/SYP rate rises 50%</t>
  </si>
  <si>
    <t xml:space="preserve">Price pass-through of FX move (domestic)</t>
  </si>
  <si>
    <t xml:space="preserve">Share recovered via SYP price rises</t>
  </si>
  <si>
    <t xml:space="preserve">Raw-material cost shock (pp of revenue)</t>
  </si>
  <si>
    <t xml:space="preserve">Energy cost shock (pp of revenue)</t>
  </si>
  <si>
    <t xml:space="preserve">Grid tariff / diesel</t>
  </si>
  <si>
    <t xml:space="preserve">Interest rate shock (pp)</t>
  </si>
  <si>
    <t xml:space="preserve">6. Covenant thresholds</t>
  </si>
  <si>
    <t xml:space="preserve">Minimum DSCR</t>
  </si>
  <si>
    <t xml:space="preserve">Maximum Total Debt / EBITDA</t>
  </si>
  <si>
    <t xml:space="preserve">Minimum current ratio</t>
  </si>
  <si>
    <t xml:space="preserve">Maximum Debt / Equity</t>
  </si>
  <si>
    <t xml:space="preserve">Historical Income Statement</t>
  </si>
  <si>
    <t xml:space="preserve">Audited, FY ending 31 December. USD '000. Fictional.</t>
  </si>
  <si>
    <t xml:space="preserve">FY2023</t>
  </si>
  <si>
    <t xml:space="preserve">FY2024</t>
  </si>
  <si>
    <t xml:space="preserve">FY2025</t>
  </si>
  <si>
    <t xml:space="preserve">  of which export share</t>
  </si>
  <si>
    <t xml:space="preserve">Raw materials &amp; packaging</t>
  </si>
  <si>
    <t xml:space="preserve">Direct labour</t>
  </si>
  <si>
    <t xml:space="preserve">Energy (diesel generators &amp; grid)</t>
  </si>
  <si>
    <t xml:space="preserve">Gross profit</t>
  </si>
  <si>
    <t xml:space="preserve">Selling, general &amp; admin (incl. export logistics)</t>
  </si>
  <si>
    <t xml:space="preserve">Depreciation &amp; amortisation</t>
  </si>
  <si>
    <t xml:space="preserve">EBIT</t>
  </si>
  <si>
    <t xml:space="preserve">Interest expense</t>
  </si>
  <si>
    <t xml:space="preserve">Net FX translation loss</t>
  </si>
  <si>
    <t xml:space="preserve">Profit before tax</t>
  </si>
  <si>
    <t xml:space="preserve">Income tax</t>
  </si>
  <si>
    <t xml:space="preserve">PBT x tax rate</t>
  </si>
  <si>
    <t xml:space="preserve">Net income</t>
  </si>
  <si>
    <t xml:space="preserve">Dividends paid</t>
  </si>
  <si>
    <t xml:space="preserve">Margins</t>
  </si>
  <si>
    <t xml:space="preserve">Gross margin</t>
  </si>
  <si>
    <t xml:space="preserve">EBITDA margin</t>
  </si>
  <si>
    <t xml:space="preserve">Net margin</t>
  </si>
  <si>
    <t xml:space="preserve">Revenue growth</t>
  </si>
  <si>
    <t xml:space="preserve">Historical Balance Sheet</t>
  </si>
  <si>
    <t xml:space="preserve">31 December. FY2022 shown as opening position. Cash is linked from the cash flow statement. USD '000.</t>
  </si>
  <si>
    <t xml:space="preserve">FY2022</t>
  </si>
  <si>
    <t xml:space="preserve">Assets</t>
  </si>
  <si>
    <t xml:space="preserve">Cash &amp; bank balances</t>
  </si>
  <si>
    <t xml:space="preserve">FY2023+ = CF closing cash</t>
  </si>
  <si>
    <t xml:space="preserve">Trade receivables</t>
  </si>
  <si>
    <t xml:space="preserve">Inventories (olive oil, olives, soap)</t>
  </si>
  <si>
    <t xml:space="preserve">Prepayments &amp; other current assets</t>
  </si>
  <si>
    <t xml:space="preserve">Total current assets</t>
  </si>
  <si>
    <t xml:space="preserve">Property, plant &amp; equipment, net</t>
  </si>
  <si>
    <t xml:space="preserve">Prior + capex – D&amp;A</t>
  </si>
  <si>
    <t xml:space="preserve">TOTAL ASSETS</t>
  </si>
  <si>
    <t xml:space="preserve">Liabilities &amp; equity</t>
  </si>
  <si>
    <t xml:space="preserve">Trade payables</t>
  </si>
  <si>
    <t xml:space="preserve">Accruals &amp; tax payable</t>
  </si>
  <si>
    <t xml:space="preserve">Short-term bank debt (to be refinanced by BAC revolver)</t>
  </si>
  <si>
    <t xml:space="preserve">Total current liabilities</t>
  </si>
  <si>
    <t xml:space="preserve">Long-term bank debt (incl. current portion)</t>
  </si>
  <si>
    <t xml:space="preserve">Total liabilities</t>
  </si>
  <si>
    <t xml:space="preserve">Share capital</t>
  </si>
  <si>
    <t xml:space="preserve">Retained earnings</t>
  </si>
  <si>
    <t xml:space="preserve">Prior + NI – dividends</t>
  </si>
  <si>
    <t xml:space="preserve">Total equity</t>
  </si>
  <si>
    <t xml:space="preserve">TOTAL LIABILITIES &amp; EQUITY</t>
  </si>
  <si>
    <t xml:space="preserve">Balance check (assets – L&amp;E)</t>
  </si>
  <si>
    <t xml:space="preserve">Total bank debt</t>
  </si>
  <si>
    <t xml:space="preserve">Net working capital (ex cash, ex debt)</t>
  </si>
  <si>
    <t xml:space="preserve">Historical Cash Flow Statement (indirect)</t>
  </si>
  <si>
    <t xml:space="preserve">Derived from income statement and balance sheet movements. USD '000.</t>
  </si>
  <si>
    <t xml:space="preserve">Operating activities</t>
  </si>
  <si>
    <t xml:space="preserve">Add back: D&amp;A</t>
  </si>
  <si>
    <t xml:space="preserve">(Increase) / decrease in receivables</t>
  </si>
  <si>
    <t xml:space="preserve">(Increase) / decrease in inventories</t>
  </si>
  <si>
    <t xml:space="preserve">(Increase) / decrease in other current assets</t>
  </si>
  <si>
    <t xml:space="preserve">Increase / (decrease) in payables</t>
  </si>
  <si>
    <t xml:space="preserve">Increase / (decrease) in accruals</t>
  </si>
  <si>
    <t xml:space="preserve">Cash flow from operations</t>
  </si>
  <si>
    <t xml:space="preserve">Investing activities</t>
  </si>
  <si>
    <t xml:space="preserve">Capital expenditure</t>
  </si>
  <si>
    <t xml:space="preserve">Cash flow from investing</t>
  </si>
  <si>
    <t xml:space="preserve">Financing activities</t>
  </si>
  <si>
    <t xml:space="preserve">Net change in short-term bank debt</t>
  </si>
  <si>
    <t xml:space="preserve">Net change in long-term debt</t>
  </si>
  <si>
    <t xml:space="preserve">Share capital issued</t>
  </si>
  <si>
    <t xml:space="preserve">Cash flow from financing</t>
  </si>
  <si>
    <t xml:space="preserve">Net change in cash</t>
  </si>
  <si>
    <t xml:space="preserve">Opening cash</t>
  </si>
  <si>
    <t xml:space="preserve">Closing cash</t>
  </si>
  <si>
    <t xml:space="preserve">Free cash flow (CFO + capex)</t>
  </si>
  <si>
    <t xml:space="preserve">Cash tie-out (CF closing – BS cash)</t>
  </si>
  <si>
    <t xml:space="preserve">Ratio Analysis</t>
  </si>
  <si>
    <t xml:space="preserve">Calculated from IS / BS / CF. Average balances not used (year-end basis) for simplicity.</t>
  </si>
  <si>
    <t xml:space="preserve">Ratio</t>
  </si>
  <si>
    <t xml:space="preserve">Profitability</t>
  </si>
  <si>
    <t xml:space="preserve">Gross profit / Revenue</t>
  </si>
  <si>
    <t xml:space="preserve">EBITDA / Revenue</t>
  </si>
  <si>
    <t xml:space="preserve">Net income / Revenue</t>
  </si>
  <si>
    <t xml:space="preserve">Return on assets</t>
  </si>
  <si>
    <t xml:space="preserve">Net income / Total assets</t>
  </si>
  <si>
    <t xml:space="preserve">Return on equity</t>
  </si>
  <si>
    <t xml:space="preserve">Net income / Total equity</t>
  </si>
  <si>
    <t xml:space="preserve">Liquidity</t>
  </si>
  <si>
    <t xml:space="preserve">Current ratio</t>
  </si>
  <si>
    <t xml:space="preserve">Current assets / Current liabilities</t>
  </si>
  <si>
    <t xml:space="preserve">Quick ratio</t>
  </si>
  <si>
    <t xml:space="preserve">(Current assets – Inventory) / CL</t>
  </si>
  <si>
    <t xml:space="preserve">Cash ratio</t>
  </si>
  <si>
    <t xml:space="preserve">Cash / Current liabilities</t>
  </si>
  <si>
    <t xml:space="preserve">Leverage</t>
  </si>
  <si>
    <t xml:space="preserve">Debt / Equity</t>
  </si>
  <si>
    <t xml:space="preserve">Total bank debt / Equity</t>
  </si>
  <si>
    <t xml:space="preserve">Total Debt / EBITDA</t>
  </si>
  <si>
    <t xml:space="preserve">Total bank debt / EBITDA</t>
  </si>
  <si>
    <t xml:space="preserve">Net Debt / EBITDA</t>
  </si>
  <si>
    <t xml:space="preserve">(Debt – Cash) / EBITDA</t>
  </si>
  <si>
    <t xml:space="preserve">Liabilities / Total assets</t>
  </si>
  <si>
    <t xml:space="preserve">Total liabilities / Total assets</t>
  </si>
  <si>
    <t xml:space="preserve">Coverage</t>
  </si>
  <si>
    <t xml:space="preserve">Interest cover (EBITDA)</t>
  </si>
  <si>
    <t xml:space="preserve">EBITDA / Interest</t>
  </si>
  <si>
    <t xml:space="preserve">Interest cover (EBIT)</t>
  </si>
  <si>
    <t xml:space="preserve">EBIT / Interest</t>
  </si>
  <si>
    <t xml:space="preserve">Historical DSCR</t>
  </si>
  <si>
    <t xml:space="preserve">(EBITDA – tax – maint. capex) / (interest + LT principal)</t>
  </si>
  <si>
    <t xml:space="preserve">Efficiency</t>
  </si>
  <si>
    <t xml:space="preserve">Days sales outstanding (DSO)</t>
  </si>
  <si>
    <t xml:space="preserve">Receivables / Revenue x 365</t>
  </si>
  <si>
    <t xml:space="preserve">Days inventory outstanding (DIO)</t>
  </si>
  <si>
    <t xml:space="preserve">Inventory / COGS x 365</t>
  </si>
  <si>
    <t xml:space="preserve">Days payables outstanding (DPO)</t>
  </si>
  <si>
    <t xml:space="preserve">Payables / COGS x 365</t>
  </si>
  <si>
    <t xml:space="preserve">Cash conversion cycle</t>
  </si>
  <si>
    <t xml:space="preserve">DSO + DIO – DPO</t>
  </si>
  <si>
    <t xml:space="preserve">Asset turnover</t>
  </si>
  <si>
    <t xml:space="preserve">Revenue / Total assets</t>
  </si>
  <si>
    <t xml:space="preserve">Net working capital / Revenue</t>
  </si>
  <si>
    <t xml:space="preserve">NWC / Revenue</t>
  </si>
  <si>
    <t xml:space="preserve">Cash conversion (CFO / Net income)</t>
  </si>
  <si>
    <t xml:space="preserve">CFO / Net income</t>
  </si>
  <si>
    <t xml:space="preserve">Debt Schedule</t>
  </si>
  <si>
    <t xml:space="preserve">Facility A drawn Nov-2026 (end FY2026E). Interest on opening balance (conservative). USD '000.</t>
  </si>
  <si>
    <t xml:space="preserve">Year index</t>
  </si>
  <si>
    <t xml:space="preserve">Opening balance</t>
  </si>
  <si>
    <t xml:space="preserve">Drawdown</t>
  </si>
  <si>
    <t xml:space="preserve">Scheduled repayment</t>
  </si>
  <si>
    <t xml:space="preserve">Grace then straight-line</t>
  </si>
  <si>
    <t xml:space="preserve">Closing balance</t>
  </si>
  <si>
    <t xml:space="preserve">Interest (opening x rate)</t>
  </si>
  <si>
    <t xml:space="preserve">Facility B – Revolving credit facility</t>
  </si>
  <si>
    <t xml:space="preserve">Average drawn balance</t>
  </si>
  <si>
    <t xml:space="preserve">Limit x utilisation</t>
  </si>
  <si>
    <t xml:space="preserve">Interest on drawn</t>
  </si>
  <si>
    <t xml:space="preserve">Commitment fee on undrawn</t>
  </si>
  <si>
    <t xml:space="preserve">Existing term loan (other lender)</t>
  </si>
  <si>
    <t xml:space="preserve">Repayment</t>
  </si>
  <si>
    <t xml:space="preserve">Totals</t>
  </si>
  <si>
    <t xml:space="preserve">Total interest &amp; fees</t>
  </si>
  <si>
    <t xml:space="preserve">Total scheduled principal</t>
  </si>
  <si>
    <t xml:space="preserve">Total debt service (base rates)</t>
  </si>
  <si>
    <t xml:space="preserve">Interest-bearing base for rate shocks</t>
  </si>
  <si>
    <t xml:space="preserve">TL open + RCF drawn + existing open</t>
  </si>
  <si>
    <t xml:space="preserve">Total debt at year end</t>
  </si>
  <si>
    <t xml:space="preserve">TL + RCF drawn + existing</t>
  </si>
  <si>
    <t xml:space="preserve">DSRA requirement (max annual DS / 4 x quarters)</t>
  </si>
  <si>
    <t xml:space="preserve">Five-Year Projections, DSCR &amp; Stress Tests</t>
  </si>
  <si>
    <t xml:space="preserve">Base case plus three stress cases. Shocks from Assumptions section 5. USD '000.</t>
  </si>
  <si>
    <t xml:space="preserve">Min / Max</t>
  </si>
  <si>
    <t xml:space="preserve">Base revenue &amp; cost build (before shocks)</t>
  </si>
  <si>
    <t xml:space="preserve">Core revenue</t>
  </si>
  <si>
    <t xml:space="preserve">Base revenue incl. new-line uplift</t>
  </si>
  <si>
    <t xml:space="preserve">Base operating expenses</t>
  </si>
  <si>
    <t xml:space="preserve">Depreciation (existing + new equipment)</t>
  </si>
  <si>
    <t xml:space="preserve">FY2026E EBITDA (management estimate basis)</t>
  </si>
  <si>
    <t xml:space="preserve">Scenario: Base</t>
  </si>
  <si>
    <t xml:space="preserve">FX factor on SYP-priced items</t>
  </si>
  <si>
    <t xml:space="preserve">(1 + pass-through x dep) / (1 + dep)</t>
  </si>
  <si>
    <t xml:space="preserve">Volume-adjusted revenue</t>
  </si>
  <si>
    <t xml:space="preserve">Base x (1 + sales shock)</t>
  </si>
  <si>
    <t xml:space="preserve">Revenue (USD)</t>
  </si>
  <si>
    <t xml:space="preserve">Export + domestic x FX factor</t>
  </si>
  <si>
    <t xml:space="preserve">Raw materials, packaging &amp; labour</t>
  </si>
  <si>
    <t xml:space="preserve">USD-linked; on volume</t>
  </si>
  <si>
    <t xml:space="preserve">Energy</t>
  </si>
  <si>
    <t xml:space="preserve">Operating expenses</t>
  </si>
  <si>
    <t xml:space="preserve">SYP share x FX factor</t>
  </si>
  <si>
    <t xml:space="preserve">Interest &amp; fees</t>
  </si>
  <si>
    <t xml:space="preserve">Base + rate shock x debt</t>
  </si>
  <si>
    <t xml:space="preserve">Cash tax</t>
  </si>
  <si>
    <t xml:space="preserve">MAX(0, PBT x rate)</t>
  </si>
  <si>
    <t xml:space="preserve">Maintenance capex</t>
  </si>
  <si>
    <t xml:space="preserve">% of revenue</t>
  </si>
  <si>
    <t xml:space="preserve">Increase in net working capital</t>
  </si>
  <si>
    <t xml:space="preserve">MAX(0, NWC% x revenue growth)</t>
  </si>
  <si>
    <t xml:space="preserve">Cash flow available for debt service (CFADS)</t>
  </si>
  <si>
    <t xml:space="preserve">EBITDA – tax – capex – ΔNWC</t>
  </si>
  <si>
    <t xml:space="preserve">Scheduled principal</t>
  </si>
  <si>
    <t xml:space="preserve">Total debt service</t>
  </si>
  <si>
    <t xml:space="preserve">Interest &amp; fees + principal</t>
  </si>
  <si>
    <t xml:space="preserve">DSCR</t>
  </si>
  <si>
    <t xml:space="preserve">CFADS / debt service</t>
  </si>
  <si>
    <t xml:space="preserve">CFADS headroom before DSCR = 1.0x</t>
  </si>
  <si>
    <t xml:space="preserve">1 – 1/DSCR</t>
  </si>
  <si>
    <t xml:space="preserve">Year-end debt / EBITDA</t>
  </si>
  <si>
    <t xml:space="preserve">Cumulative cash after debt service</t>
  </si>
  <si>
    <t xml:space="preserve">Covenant: DSCR ≥ minimum</t>
  </si>
  <si>
    <t xml:space="preserve">Covenant: Debt/EBITDA ≤ maximum</t>
  </si>
  <si>
    <t xml:space="preserve">Scenario: Downside</t>
  </si>
  <si>
    <t xml:space="preserve">Scenario: FX shock</t>
  </si>
  <si>
    <t xml:space="preserve">Scenario: Combined</t>
  </si>
  <si>
    <t xml:space="preserve">Sensitivity: FY2028 DSCR (first full amortisation year)</t>
  </si>
  <si>
    <t xml:space="preserve">Each cell recomputes CFADS / debt service for the sales change (rows) and SYP depreciation (columns). Other shocks off; base rates.</t>
  </si>
  <si>
    <t xml:space="preserve">FX pass-through used</t>
  </si>
  <si>
    <t xml:space="preserve">Sales change ↓ / SYP depreciation →</t>
  </si>
  <si>
    <t xml:space="preserve">Base case FY2028 DSCR (Projections)</t>
  </si>
  <si>
    <t xml:space="preserve">Grid cell (0%, 0%) – must equal base</t>
  </si>
  <si>
    <t xml:space="preserve">Covenant minimum DSCR</t>
  </si>
  <si>
    <t xml:space="preserve">Cells below covenant (count)</t>
  </si>
  <si>
    <t xml:space="preserve">Cells below 1.00x (count)</t>
  </si>
  <si>
    <t xml:space="preserve">Collateral Analysis</t>
  </si>
  <si>
    <t xml:space="preserve">Independent valuation (fictional) dated Sep-2026. Haircuts reflect enforcement time, illiquidity and title risk in Aleppo.</t>
  </si>
  <si>
    <t xml:space="preserve">Security item</t>
  </si>
  <si>
    <t xml:space="preserve">Basis of value</t>
  </si>
  <si>
    <t xml:space="preserve">Market value</t>
  </si>
  <si>
    <t xml:space="preserve">Haircut</t>
  </si>
  <si>
    <t xml:space="preserve">Lending value</t>
  </si>
  <si>
    <t xml:space="preserve">Rationale for haircut</t>
  </si>
  <si>
    <t xml:space="preserve">First-degree mortgage: factory land &amp; buildings, Sheikh Najjar Industrial City</t>
  </si>
  <si>
    <t xml:space="preserve">Independent valuer, Sep-2026</t>
  </si>
  <si>
    <t xml:space="preserve">Thin real-estate market, 12–24m enforcement, title/registry checks</t>
  </si>
  <si>
    <t xml:space="preserve">Pledge over new press, bottling line &amp; solar PV</t>
  </si>
  <si>
    <t xml:space="preserve">Invoice cost (CIF Aleppo)</t>
  </si>
  <si>
    <t xml:space="preserve">Specialised assets; resale and removal costs</t>
  </si>
  <si>
    <t xml:space="preserve">Assignment of eligible export receivables</t>
  </si>
  <si>
    <t xml:space="preserve">Avg. eligible balance</t>
  </si>
  <si>
    <t xml:space="preserve">Gulf buyers on LC / credit insurance</t>
  </si>
  <si>
    <t xml:space="preserve">Pledge over finished-goods inventory (olive oil)</t>
  </si>
  <si>
    <t xml:space="preserve">Avg. stock at cost</t>
  </si>
  <si>
    <t xml:space="preserve">Seasonality, price swings, storage control</t>
  </si>
  <si>
    <t xml:space="preserve">Cash collateral – Debt Service Reserve Account</t>
  </si>
  <si>
    <t xml:space="preserve">Cash at BAC</t>
  </si>
  <si>
    <t xml:space="preserve">Cash held at BAC; no haircut</t>
  </si>
  <si>
    <t xml:space="preserve">Personal guarantee of majority shareholder (not valued)</t>
  </si>
  <si>
    <t xml:space="preserve">Support only</t>
  </si>
  <si>
    <t xml:space="preserve">TOTAL SECURITY</t>
  </si>
  <si>
    <t xml:space="preserve">Exposure &amp; coverage</t>
  </si>
  <si>
    <t xml:space="preserve">Total BAC exposure (TL + RCF limit)</t>
  </si>
  <si>
    <t xml:space="preserve">Exposure / market value</t>
  </si>
  <si>
    <t xml:space="preserve">LTV on lending value (post-haircut)</t>
  </si>
  <si>
    <t xml:space="preserve">Exposure / lending value</t>
  </si>
  <si>
    <t xml:space="preserve">Collateral coverage (lending value / exposure)</t>
  </si>
  <si>
    <t xml:space="preserve">Term loan LTV on real estate + equipment (market)</t>
  </si>
  <si>
    <t xml:space="preserve">Term loan LTV on real estate + equipment (lending value)</t>
  </si>
  <si>
    <t xml:space="preserve">RCF borrowing base (receivables + inventory lending value)</t>
  </si>
  <si>
    <t xml:space="preserve">RCF limit covered by borrowing base</t>
  </si>
  <si>
    <t xml:space="preserve">Stress: real-estate value falls 30% and equipment 20%</t>
  </si>
  <si>
    <t xml:space="preserve">Stressed lending value</t>
  </si>
  <si>
    <t xml:space="preserve">Stressed coverage</t>
  </si>
  <si>
    <t xml:space="preserve">Stressed LTV on lending value</t>
  </si>
  <si>
    <t xml:space="preserve">BAC policy: max LTV on lending value</t>
  </si>
  <si>
    <t xml:space="preserve">Within policy?</t>
  </si>
  <si>
    <t xml:space="preserve">Internal Risk Rating Scorecard</t>
  </si>
  <si>
    <t xml:space="preserve">Scores 1 (weak) to 10 (strong). Quantitative scores are formula-driven; qualitative scores are analyst inputs.</t>
  </si>
  <si>
    <t xml:space="preserve">Factor</t>
  </si>
  <si>
    <t xml:space="preserve">Weight</t>
  </si>
  <si>
    <t xml:space="preserve">Metric</t>
  </si>
  <si>
    <t xml:space="preserve">Score</t>
  </si>
  <si>
    <t xml:space="preserve">Weighted</t>
  </si>
  <si>
    <t xml:space="preserve">Basis</t>
  </si>
  <si>
    <t xml:space="preserve">Financial risk (50%)</t>
  </si>
  <si>
    <t xml:space="preserve">Minimum base-case DSCR</t>
  </si>
  <si>
    <t xml:space="preserve">≥2.0x=9; ≥1.75x=8; ≥1.5x=7; ≥1.25x=5; ≥1.1x=3</t>
  </si>
  <si>
    <t xml:space="preserve">Minimum downside-case DSCR</t>
  </si>
  <si>
    <t xml:space="preserve">≥1.5x=9; ≥1.3x=7; ≥1.15x=5; ≥1.0x=3</t>
  </si>
  <si>
    <t xml:space="preserve">≤1.5x=9; ≤2.0x=8; ≤2.5x=7; ≤3.0x=5; ≤4.0x=3</t>
  </si>
  <si>
    <t xml:space="preserve">EBITDA margin FY2025</t>
  </si>
  <si>
    <t xml:space="preserve">≥25%=9; ≥20%=8; ≥15%=7; ≥10%=5</t>
  </si>
  <si>
    <t xml:space="preserve">Current ratio FY2025</t>
  </si>
  <si>
    <t xml:space="preserve">≥2.0x=9; ≥1.5x=7; ≥1.2x=5</t>
  </si>
  <si>
    <t xml:space="preserve">Business risk (25%)</t>
  </si>
  <si>
    <t xml:space="preserve">Industry outlook (olive oil &amp; soap exports)</t>
  </si>
  <si>
    <t xml:space="preserve">Growing Gulf demand; reconstruction tailwinds; climate-driven harvest swings</t>
  </si>
  <si>
    <t xml:space="preserve">Market position, diversification &amp; growth</t>
  </si>
  <si>
    <t xml:space="preserve">28-year track record; 55% exports to 5 countries; revenue CAGR ~20%</t>
  </si>
  <si>
    <t xml:space="preserve">Management, governance &amp; transparency</t>
  </si>
  <si>
    <t xml:space="preserve">Experienced family owners; audited by local firm; key-person risk; board lacks independents</t>
  </si>
  <si>
    <t xml:space="preserve">Country &amp; external risk (15%)</t>
  </si>
  <si>
    <t xml:space="preserve">Country, FX convertibility &amp; sanctions legacy</t>
  </si>
  <si>
    <t xml:space="preserve">Sanctions lifted 2025 but correspondent banking still thin; SYP volatility</t>
  </si>
  <si>
    <t xml:space="preserve">Energy &amp; supply chain</t>
  </si>
  <si>
    <t xml:space="preserve">Grid unreliable; solar PV cuts diesel need; imported packaging and spares</t>
  </si>
  <si>
    <t xml:space="preserve">Security (10%)</t>
  </si>
  <si>
    <t xml:space="preserve">≥1.5x=9; ≥1.25x=7; ≥1.0x=5</t>
  </si>
  <si>
    <t xml:space="preserve">Enforceability of security in Aleppo</t>
  </si>
  <si>
    <t xml:space="preserve">Courts reopening; registry gaps; long enforcement timelines</t>
  </si>
  <si>
    <t xml:space="preserve">TOTAL</t>
  </si>
  <si>
    <t xml:space="preserve">Rating outcome</t>
  </si>
  <si>
    <t xml:space="preserve">Scorecard grade (before country cap)</t>
  </si>
  <si>
    <t xml:space="preserve">Country ceiling for Syrian corporates (best grade)</t>
  </si>
  <si>
    <t xml:space="preserve">FINAL INTERNAL RATING</t>
  </si>
  <si>
    <t xml:space="preserve">Description</t>
  </si>
  <si>
    <t xml:space="preserve">Indicative 1-year PD (illustrative master scale)</t>
  </si>
  <si>
    <t xml:space="preserve">Master scale: score ≥8.0 = BAC-2 Strong; ≥7.0 = BAC-3 Good; ≥6.0 = BAC-4 Satisfactory; ≥5.0 = BAC-5 Acceptable; ≥4.0 = BAC-6 Watch; &lt;4.0 = BAC-7 Substandard.</t>
  </si>
  <si>
    <t xml:space="preserve">Model Integrity Checks</t>
  </si>
  <si>
    <t xml:space="preserve">All checks should read TRUE.</t>
  </si>
  <si>
    <t xml:space="preserve">Check</t>
  </si>
  <si>
    <t xml:space="preserve">Value</t>
  </si>
  <si>
    <t xml:space="preserve">Result</t>
  </si>
  <si>
    <t xml:space="preserve">Balance sheet balances – all years (sum of abs differences)</t>
  </si>
  <si>
    <t xml:space="preserve">CF closing cash ties to BS cash – all years</t>
  </si>
  <si>
    <t xml:space="preserve">Retained earnings roll-forward (FY2025 RE – opening – ΣNI + Σdiv)</t>
  </si>
  <si>
    <t xml:space="preserve">Term loan fully repaid by FY2031</t>
  </si>
  <si>
    <t xml:space="preserve">Sum of term-loan repayments = facility amount</t>
  </si>
  <si>
    <t xml:space="preserve">Sensitivity grid (0%,0%) reconciles to base FY2028 DSCR</t>
  </si>
  <si>
    <t xml:space="preserve">Scorecard weights sum to 100%</t>
  </si>
  <si>
    <t xml:space="preserve">Collateral lending value ≤ market value</t>
  </si>
  <si>
    <t xml:space="preserve">Base FY2028 is the tightest DSCR year</t>
  </si>
  <si>
    <t xml:space="preserve">Historical closing cash positive all years</t>
  </si>
  <si>
    <t xml:space="preserve">ALL CHECKS PASS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</si>
</sst>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–"/>
    <numFmt numFmtId="166" formatCode="0.00\x;\(0.00&quot;x)&quot;;\–"/>
    <numFmt numFmtId="167" formatCode="0.0%;\(0.0%\);\–"/>
    <numFmt numFmtId="168" formatCode="&quot;BAC-&quot;0"/>
    <numFmt numFmtId="169" formatCode="0.00"/>
    <numFmt numFmtId="170" formatCode="@"/>
    <numFmt numFmtId="171" formatCode="0.00%"/>
    <numFmt numFmtId="172" formatCode="0"/>
    <numFmt numFmtId="173" formatCode="#,##0.0;\(#,##0.0\);\–"/>
    <numFmt numFmtId="174" formatCode="0&quot; d&quot;"/>
    <numFmt numFmtId="175" formatCode="0.000"/>
    <numFmt numFmtId="176" formatCode="0.0%"/>
    <numFmt numFmtId="177" formatCode="0.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2545"/>
      <name val="Cambria"/>
      <family val="0"/>
      <charset val="1"/>
    </font>
    <font>
      <i val="true"/>
      <sz val="10"/>
      <color rgb="FF5B6573"/>
      <name val="Calibri"/>
      <family val="0"/>
      <charset val="1"/>
    </font>
    <font>
      <b val="true"/>
      <sz val="11"/>
      <color rgb="FFA33A2C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B2545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1B7F3B"/>
      <name val="Calibri"/>
      <family val="0"/>
      <charset val="1"/>
    </font>
    <font>
      <b val="true"/>
      <sz val="16"/>
      <color rgb="FF0B254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7E0"/>
        <bgColor rgb="FFF2F4F7"/>
      </patternFill>
    </fill>
    <fill>
      <patternFill patternType="solid">
        <fgColor rgb="FFE3E8F0"/>
        <bgColor rgb="FFF2F4F7"/>
      </patternFill>
    </fill>
    <fill>
      <patternFill patternType="solid">
        <fgColor rgb="FFF2F4F7"/>
        <bgColor rgb="FFFFF7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8C0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F3B"/>
      <rgbColor rgb="FF000080"/>
      <rgbColor rgb="FF808000"/>
      <rgbColor rgb="FF800080"/>
      <rgbColor rgb="FF008080"/>
      <rgbColor rgb="FFB8C0CC"/>
      <rgbColor rgb="FF878787"/>
      <rgbColor rgb="FF9999FF"/>
      <rgbColor rgb="FFC0504D"/>
      <rgbColor rgb="FFFFF7E0"/>
      <rgbColor rgb="FFE3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B6573"/>
      <rgbColor rgb="FF8064A2"/>
      <rgbColor rgb="FF0B2545"/>
      <rgbColor rgb="FF339966"/>
      <rgbColor rgb="FF003300"/>
      <rgbColor rgb="FF333300"/>
      <rgbColor rgb="FFA33A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DSCR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Dashboard!A18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Dashboard!$B$17:$F$17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Dashboard!$B$18:$F$18</c:f>
              <c:numCache>
                <c:formatCode>0.00\x;\(0.00"x)";\–</c:formatCode>
                <c:ptCount val="5"/>
                <c:pt idx="0">
                  <c:v>3.03904706700498</c:v>
                </c:pt>
                <c:pt idx="1">
                  <c:v>1.77358129206421</c:v>
                </c:pt>
                <c:pt idx="2">
                  <c:v>2.66456421926459</c:v>
                </c:pt>
                <c:pt idx="3">
                  <c:v>2.98307471943281</c:v>
                </c:pt>
                <c:pt idx="4">
                  <c:v>3.31816047541896</c:v>
                </c:pt>
              </c:numCache>
            </c:numRef>
          </c:val>
        </c:ser>
        <c:ser>
          <c:idx val="1"/>
          <c:order val="1"/>
          <c:tx>
            <c:strRef>
              <c:f>Dashboard!A19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Dashboard!$B$17:$F$17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Dashboard!$B$19:$F$19</c:f>
              <c:numCache>
                <c:formatCode>0.00\x;\(0.00"x)";\–</c:formatCode>
                <c:ptCount val="5"/>
                <c:pt idx="0">
                  <c:v>2.44697732922667</c:v>
                </c:pt>
                <c:pt idx="1">
                  <c:v>1.27152497433901</c:v>
                </c:pt>
                <c:pt idx="2">
                  <c:v>1.92121105212402</c:v>
                </c:pt>
                <c:pt idx="3">
                  <c:v>2.16040471061758</c:v>
                </c:pt>
                <c:pt idx="4">
                  <c:v>2.41592444728364</c:v>
                </c:pt>
              </c:numCache>
            </c:numRef>
          </c:val>
        </c:ser>
        <c:ser>
          <c:idx val="2"/>
          <c:order val="2"/>
          <c:tx>
            <c:strRef>
              <c:f>Dashboard!A20</c:f>
              <c:strCache>
                <c:ptCount val="1"/>
                <c:pt idx="0">
                  <c:v>FX shock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Dashboard!$B$17:$F$17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Dashboard!$B$20:$F$20</c:f>
              <c:numCache>
                <c:formatCode>0.00\x;\(0.00"x)";\–</c:formatCode>
                <c:ptCount val="5"/>
                <c:pt idx="0">
                  <c:v>2.48190498637346</c:v>
                </c:pt>
                <c:pt idx="1">
                  <c:v>1.28646750646104</c:v>
                </c:pt>
                <c:pt idx="2">
                  <c:v>1.9636080111595</c:v>
                </c:pt>
                <c:pt idx="3">
                  <c:v>2.19291080534301</c:v>
                </c:pt>
                <c:pt idx="4">
                  <c:v>2.43240501992972</c:v>
                </c:pt>
              </c:numCache>
            </c:numRef>
          </c:val>
        </c:ser>
        <c:ser>
          <c:idx val="3"/>
          <c:order val="3"/>
          <c:tx>
            <c:strRef>
              <c:f>Dashboard!A21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Dashboard!$B$17:$F$17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Dashboard!$B$21:$F$21</c:f>
              <c:numCache>
                <c:formatCode>0.00\x;\(0.00"x)";\–</c:formatCode>
                <c:ptCount val="5"/>
                <c:pt idx="0">
                  <c:v>1.62632191142122</c:v>
                </c:pt>
                <c:pt idx="1">
                  <c:v>0.78037882362036</c:v>
                </c:pt>
                <c:pt idx="2">
                  <c:v>1.2114562971289</c:v>
                </c:pt>
                <c:pt idx="3">
                  <c:v>1.34704262556855</c:v>
                </c:pt>
                <c:pt idx="4">
                  <c:v>1.48615092211366</c:v>
                </c:pt>
              </c:numCache>
            </c:numRef>
          </c:val>
        </c:ser>
        <c:gapWidth val="150"/>
        <c:overlap val="0"/>
        <c:axId val="83543022"/>
        <c:axId val="55456378"/>
      </c:barChart>
      <c:catAx>
        <c:axId val="835430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56378"/>
        <c:crosses val="autoZero"/>
        <c:auto val="1"/>
        <c:lblAlgn val="ctr"/>
        <c:lblOffset val="100"/>
        <c:noMultiLvlLbl val="0"/>
      </c:catAx>
      <c:valAx>
        <c:axId val="55456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;\(0.00&quot;x)&quot;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5430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Base case revenue, EBITDA and debt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Dashboard!A26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Dashboard!$B$17:$F$17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Dashboard!$B$26:$F$26</c:f>
              <c:numCache>
                <c:formatCode>#,##0;\(#,##0\);\–</c:formatCode>
                <c:ptCount val="5"/>
                <c:pt idx="0">
                  <c:v>10898.92</c:v>
                </c:pt>
                <c:pt idx="1">
                  <c:v>12206.7904</c:v>
                </c:pt>
                <c:pt idx="2">
                  <c:v>12931.56858</c:v>
                </c:pt>
                <c:pt idx="3">
                  <c:v>13578.147009</c:v>
                </c:pt>
                <c:pt idx="4">
                  <c:v>14121.27288936</c:v>
                </c:pt>
              </c:numCache>
            </c:numRef>
          </c:val>
        </c:ser>
        <c:ser>
          <c:idx val="1"/>
          <c:order val="1"/>
          <c:tx>
            <c:strRef>
              <c:f>Dashboard!A27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Dashboard!$B$17:$F$17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Dashboard!$B$27:$F$27</c:f>
              <c:numCache>
                <c:formatCode>#,##0;\(#,##0\);\–</c:formatCode>
                <c:ptCount val="5"/>
                <c:pt idx="0">
                  <c:v>2440.25224</c:v>
                </c:pt>
                <c:pt idx="1">
                  <c:v>2958.9523648</c:v>
                </c:pt>
                <c:pt idx="2">
                  <c:v>3110.82373146</c:v>
                </c:pt>
                <c:pt idx="3">
                  <c:v>3228.951471633</c:v>
                </c:pt>
                <c:pt idx="4">
                  <c:v>3304.23416768232</c:v>
                </c:pt>
              </c:numCache>
            </c:numRef>
          </c:val>
        </c:ser>
        <c:ser>
          <c:idx val="2"/>
          <c:order val="2"/>
          <c:tx>
            <c:strRef>
              <c:f>Dashboard!A28</c:f>
              <c:strCache>
                <c:ptCount val="1"/>
                <c:pt idx="0">
                  <c:v>Total debt (year end)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Dashboard!$B$17:$F$17</c:f>
              <c:strCache>
                <c:ptCount val="5"/>
                <c:pt idx="0">
                  <c:v>FY2027</c:v>
                </c:pt>
                <c:pt idx="1">
                  <c:v>FY2028</c:v>
                </c:pt>
                <c:pt idx="2">
                  <c:v>FY2029</c:v>
                </c:pt>
                <c:pt idx="3">
                  <c:v>FY2030</c:v>
                </c:pt>
                <c:pt idx="4">
                  <c:v>FY2031</c:v>
                </c:pt>
              </c:strCache>
            </c:strRef>
          </c:cat>
          <c:val>
            <c:numRef>
              <c:f>Dashboard!$B$28:$F$28</c:f>
              <c:numCache>
                <c:formatCode>#,##0;\(#,##0\);\–</c:formatCode>
                <c:ptCount val="5"/>
                <c:pt idx="0">
                  <c:v>3230</c:v>
                </c:pt>
                <c:pt idx="1">
                  <c:v>2430</c:v>
                </c:pt>
                <c:pt idx="2">
                  <c:v>1830</c:v>
                </c:pt>
                <c:pt idx="3">
                  <c:v>1230</c:v>
                </c:pt>
                <c:pt idx="4">
                  <c:v>630</c:v>
                </c:pt>
              </c:numCache>
            </c:numRef>
          </c:val>
        </c:ser>
        <c:gapWidth val="150"/>
        <c:overlap val="0"/>
        <c:axId val="26103166"/>
        <c:axId val="39933008"/>
      </c:barChart>
      <c:catAx>
        <c:axId val="26103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933008"/>
        <c:crosses val="autoZero"/>
        <c:auto val="1"/>
        <c:lblAlgn val="ctr"/>
        <c:lblOffset val="100"/>
        <c:noMultiLvlLbl val="0"/>
      </c:catAx>
      <c:valAx>
        <c:axId val="39933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1031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131040</xdr:rowOff>
    </xdr:from>
    <xdr:to>
      <xdr:col>2</xdr:col>
      <xdr:colOff>630360</xdr:colOff>
      <xdr:row>42</xdr:row>
      <xdr:rowOff>163440</xdr:rowOff>
    </xdr:to>
    <xdr:graphicFrame>
      <xdr:nvGraphicFramePr>
        <xdr:cNvPr id="0" name="Chart 1"/>
        <xdr:cNvGraphicFramePr/>
      </xdr:nvGraphicFramePr>
      <xdr:xfrm>
        <a:off x="0" y="552456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28</xdr:row>
      <xdr:rowOff>131040</xdr:rowOff>
    </xdr:from>
    <xdr:to>
      <xdr:col>9</xdr:col>
      <xdr:colOff>589680</xdr:colOff>
      <xdr:row>42</xdr:row>
      <xdr:rowOff>163440</xdr:rowOff>
    </xdr:to>
    <xdr:graphicFrame>
      <xdr:nvGraphicFramePr>
        <xdr:cNvPr id="1" name="Chart 2"/>
        <xdr:cNvGraphicFramePr/>
      </xdr:nvGraphicFramePr>
      <xdr:xfrm>
        <a:off x="521604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61.5" hidden="false" customHeight="true" outlineLevel="0" collapsed="false">
      <c r="B6" s="3" t="s">
        <v>3</v>
      </c>
      <c r="C6" s="4" t="s">
        <v>4</v>
      </c>
    </row>
    <row r="8" customFormat="false" ht="15" hidden="false" customHeight="false" outlineLevel="0" collapsed="false">
      <c r="B8" s="5" t="s">
        <v>5</v>
      </c>
      <c r="C8" s="5" t="s">
        <v>6</v>
      </c>
    </row>
    <row r="9" customFormat="false" ht="15" hidden="false" customHeight="false" outlineLevel="0" collapsed="false">
      <c r="B9" s="6" t="s">
        <v>7</v>
      </c>
      <c r="C9" s="0" t="s">
        <v>8</v>
      </c>
    </row>
    <row r="10" customFormat="false" ht="15" hidden="false" customHeight="false" outlineLevel="0" collapsed="false">
      <c r="B10" s="6" t="s">
        <v>9</v>
      </c>
      <c r="C10" s="0" t="s">
        <v>10</v>
      </c>
    </row>
    <row r="11" customFormat="false" ht="15" hidden="false" customHeight="false" outlineLevel="0" collapsed="false">
      <c r="B11" s="6" t="s">
        <v>11</v>
      </c>
      <c r="C11" s="0" t="s">
        <v>12</v>
      </c>
    </row>
    <row r="12" customFormat="false" ht="15" hidden="false" customHeight="false" outlineLevel="0" collapsed="false">
      <c r="B12" s="6" t="s">
        <v>13</v>
      </c>
      <c r="C12" s="0" t="s">
        <v>14</v>
      </c>
    </row>
    <row r="13" customFormat="false" ht="15" hidden="false" customHeight="false" outlineLevel="0" collapsed="false">
      <c r="B13" s="6" t="s">
        <v>15</v>
      </c>
      <c r="C13" s="0" t="s">
        <v>16</v>
      </c>
    </row>
    <row r="14" customFormat="false" ht="15" hidden="false" customHeight="false" outlineLevel="0" collapsed="false">
      <c r="B14" s="6" t="s">
        <v>17</v>
      </c>
      <c r="C14" s="0" t="s">
        <v>18</v>
      </c>
    </row>
    <row r="15" customFormat="false" ht="15" hidden="false" customHeight="false" outlineLevel="0" collapsed="false">
      <c r="B15" s="6" t="s">
        <v>19</v>
      </c>
      <c r="C15" s="0" t="s">
        <v>20</v>
      </c>
    </row>
    <row r="16" customFormat="false" ht="15" hidden="false" customHeight="false" outlineLevel="0" collapsed="false">
      <c r="B16" s="6" t="s">
        <v>21</v>
      </c>
      <c r="C16" s="0" t="s">
        <v>22</v>
      </c>
    </row>
    <row r="17" customFormat="false" ht="15" hidden="false" customHeight="false" outlineLevel="0" collapsed="false">
      <c r="B17" s="6" t="s">
        <v>23</v>
      </c>
      <c r="C17" s="0" t="s">
        <v>24</v>
      </c>
    </row>
    <row r="18" customFormat="false" ht="15" hidden="false" customHeight="false" outlineLevel="0" collapsed="false">
      <c r="B18" s="6" t="s">
        <v>25</v>
      </c>
      <c r="C18" s="0" t="s">
        <v>26</v>
      </c>
    </row>
    <row r="21" customFormat="false" ht="15" hidden="false" customHeight="false" outlineLevel="0" collapsed="false">
      <c r="B21" s="7" t="s">
        <v>27</v>
      </c>
    </row>
    <row r="22" customFormat="false" ht="15" hidden="false" customHeight="false" outlineLevel="0" collapsed="false">
      <c r="B22" s="8" t="s">
        <v>28</v>
      </c>
      <c r="C22" s="0" t="s">
        <v>29</v>
      </c>
    </row>
    <row r="23" customFormat="false" ht="15" hidden="false" customHeight="false" outlineLevel="0" collapsed="false">
      <c r="B23" s="9" t="s">
        <v>28</v>
      </c>
      <c r="C23" s="0" t="s">
        <v>30</v>
      </c>
    </row>
    <row r="24" customFormat="false" ht="15" hidden="false" customHeight="false" outlineLevel="0" collapsed="false">
      <c r="B24" s="10" t="s">
        <v>28</v>
      </c>
      <c r="C24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12" t="s">
        <v>34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9" t="s">
        <v>35</v>
      </c>
      <c r="B5" s="14" t="n">
        <f aca="false">Assumptions!$C$12</f>
        <v>2400</v>
      </c>
    </row>
    <row r="6" customFormat="false" ht="15" hidden="false" customHeight="false" outlineLevel="0" collapsed="false">
      <c r="A6" s="9" t="s">
        <v>36</v>
      </c>
      <c r="B6" s="14" t="n">
        <f aca="false">Assumptions!$C$17</f>
        <v>900</v>
      </c>
    </row>
    <row r="7" customFormat="false" ht="15" hidden="false" customHeight="false" outlineLevel="0" collapsed="false">
      <c r="A7" s="9" t="s">
        <v>37</v>
      </c>
      <c r="B7" s="14" t="n">
        <f aca="false">Assumptions!$C$12+Assumptions!$C$17</f>
        <v>3300</v>
      </c>
    </row>
    <row r="8" customFormat="false" ht="15" hidden="false" customHeight="false" outlineLevel="0" collapsed="false">
      <c r="A8" s="9" t="s">
        <v>38</v>
      </c>
      <c r="B8" s="15" t="n">
        <f aca="false">Scorecard!C8</f>
        <v>1.72543890537753</v>
      </c>
    </row>
    <row r="9" customFormat="false" ht="15" hidden="false" customHeight="false" outlineLevel="0" collapsed="false">
      <c r="A9" s="9" t="s">
        <v>39</v>
      </c>
      <c r="B9" s="16" t="n">
        <f aca="false">Collateral!C15</f>
        <v>0.398646414220805</v>
      </c>
    </row>
    <row r="10" customFormat="false" ht="15" hidden="false" customHeight="false" outlineLevel="0" collapsed="false">
      <c r="A10" s="9" t="s">
        <v>40</v>
      </c>
      <c r="B10" s="16" t="n">
        <f aca="false">Collateral!C16</f>
        <v>0.720836826024394</v>
      </c>
    </row>
    <row r="11" customFormat="false" ht="15" hidden="false" customHeight="false" outlineLevel="0" collapsed="false">
      <c r="A11" s="9" t="s">
        <v>41</v>
      </c>
      <c r="B11" s="15" t="n">
        <f aca="false">Collateral!C17</f>
        <v>1.38727651515152</v>
      </c>
    </row>
    <row r="12" customFormat="false" ht="15" hidden="false" customHeight="false" outlineLevel="0" collapsed="false">
      <c r="A12" s="9" t="s">
        <v>42</v>
      </c>
      <c r="B12" s="17" t="n">
        <f aca="false">Scorecard!C27</f>
        <v>4</v>
      </c>
    </row>
    <row r="13" customFormat="false" ht="15" hidden="false" customHeight="false" outlineLevel="0" collapsed="false">
      <c r="A13" s="9" t="s">
        <v>43</v>
      </c>
      <c r="B13" s="18" t="n">
        <f aca="false">Scorecard!E22</f>
        <v>6.5</v>
      </c>
    </row>
    <row r="14" customFormat="false" ht="15" hidden="false" customHeight="false" outlineLevel="0" collapsed="false">
      <c r="A14" s="9" t="s">
        <v>44</v>
      </c>
      <c r="B14" s="19" t="str">
        <f aca="false">Checks!C16</f>
        <v>ALL PASS</v>
      </c>
    </row>
    <row r="16" customFormat="false" ht="15" hidden="false" customHeight="false" outlineLevel="0" collapsed="false">
      <c r="A16" s="12" t="s">
        <v>45</v>
      </c>
      <c r="B16" s="13"/>
      <c r="C16" s="13"/>
      <c r="D16" s="13"/>
      <c r="E16" s="13"/>
      <c r="F16" s="13"/>
      <c r="G16" s="13"/>
    </row>
    <row r="17" customFormat="false" ht="15" hidden="false" customHeight="false" outlineLevel="0" collapsed="false">
      <c r="A17" s="20" t="s">
        <v>46</v>
      </c>
      <c r="B17" s="20" t="s">
        <v>47</v>
      </c>
      <c r="C17" s="21" t="s">
        <v>48</v>
      </c>
      <c r="D17" s="21" t="s">
        <v>49</v>
      </c>
      <c r="E17" s="21" t="s">
        <v>50</v>
      </c>
      <c r="F17" s="21" t="s">
        <v>51</v>
      </c>
      <c r="G17" s="21" t="s">
        <v>52</v>
      </c>
    </row>
    <row r="18" customFormat="false" ht="15" hidden="false" customHeight="false" outlineLevel="0" collapsed="false">
      <c r="A18" s="9" t="s">
        <v>53</v>
      </c>
      <c r="B18" s="15" t="n">
        <f aca="false">Projections!D30</f>
        <v>3.03904706700498</v>
      </c>
      <c r="C18" s="15" t="n">
        <f aca="false">Projections!E30</f>
        <v>1.77358129206421</v>
      </c>
      <c r="D18" s="15" t="n">
        <f aca="false">Projections!F30</f>
        <v>2.66456421926459</v>
      </c>
      <c r="E18" s="15" t="n">
        <f aca="false">Projections!G30</f>
        <v>2.98307471943281</v>
      </c>
      <c r="F18" s="15" t="n">
        <f aca="false">Projections!H30</f>
        <v>3.31816047541896</v>
      </c>
      <c r="G18" s="22" t="n">
        <f aca="false">Projections!I30</f>
        <v>1.77358129206421</v>
      </c>
    </row>
    <row r="19" customFormat="false" ht="15" hidden="false" customHeight="false" outlineLevel="0" collapsed="false">
      <c r="A19" s="9" t="s">
        <v>54</v>
      </c>
      <c r="B19" s="15" t="n">
        <f aca="false">Projections!D55</f>
        <v>2.44697732922667</v>
      </c>
      <c r="C19" s="15" t="n">
        <f aca="false">Projections!E55</f>
        <v>1.27152497433901</v>
      </c>
      <c r="D19" s="15" t="n">
        <f aca="false">Projections!F55</f>
        <v>1.92121105212402</v>
      </c>
      <c r="E19" s="15" t="n">
        <f aca="false">Projections!G55</f>
        <v>2.16040471061758</v>
      </c>
      <c r="F19" s="15" t="n">
        <f aca="false">Projections!H55</f>
        <v>2.41592444728364</v>
      </c>
      <c r="G19" s="22" t="n">
        <f aca="false">Projections!I55</f>
        <v>1.27152497433901</v>
      </c>
    </row>
    <row r="20" customFormat="false" ht="15" hidden="false" customHeight="false" outlineLevel="0" collapsed="false">
      <c r="A20" s="9" t="s">
        <v>55</v>
      </c>
      <c r="B20" s="15" t="n">
        <f aca="false">Projections!D80</f>
        <v>2.48190498637346</v>
      </c>
      <c r="C20" s="15" t="n">
        <f aca="false">Projections!E80</f>
        <v>1.28646750646104</v>
      </c>
      <c r="D20" s="15" t="n">
        <f aca="false">Projections!F80</f>
        <v>1.9636080111595</v>
      </c>
      <c r="E20" s="15" t="n">
        <f aca="false">Projections!G80</f>
        <v>2.19291080534301</v>
      </c>
      <c r="F20" s="15" t="n">
        <f aca="false">Projections!H80</f>
        <v>2.43240501992972</v>
      </c>
      <c r="G20" s="22" t="n">
        <f aca="false">Projections!I80</f>
        <v>1.28646750646104</v>
      </c>
    </row>
    <row r="21" customFormat="false" ht="15" hidden="false" customHeight="false" outlineLevel="0" collapsed="false">
      <c r="A21" s="9" t="s">
        <v>56</v>
      </c>
      <c r="B21" s="15" t="n">
        <f aca="false">Projections!D105</f>
        <v>1.62632191142122</v>
      </c>
      <c r="C21" s="15" t="n">
        <f aca="false">Projections!E105</f>
        <v>0.78037882362036</v>
      </c>
      <c r="D21" s="15" t="n">
        <f aca="false">Projections!F105</f>
        <v>1.2114562971289</v>
      </c>
      <c r="E21" s="15" t="n">
        <f aca="false">Projections!G105</f>
        <v>1.34704262556855</v>
      </c>
      <c r="F21" s="15" t="n">
        <f aca="false">Projections!H105</f>
        <v>1.48615092211366</v>
      </c>
      <c r="G21" s="22" t="n">
        <f aca="false">Projections!I105</f>
        <v>0.78037882362036</v>
      </c>
    </row>
    <row r="22" customFormat="false" ht="15" hidden="false" customHeight="false" outlineLevel="0" collapsed="false">
      <c r="A22" s="9" t="s">
        <v>57</v>
      </c>
      <c r="B22" s="15" t="n">
        <f aca="false">Assumptions!$C$51</f>
        <v>1.25</v>
      </c>
      <c r="C22" s="15" t="n">
        <f aca="false">Assumptions!$C$51</f>
        <v>1.25</v>
      </c>
      <c r="D22" s="15" t="n">
        <f aca="false">Assumptions!$C$51</f>
        <v>1.25</v>
      </c>
      <c r="E22" s="15" t="n">
        <f aca="false">Assumptions!$C$51</f>
        <v>1.25</v>
      </c>
      <c r="F22" s="15" t="n">
        <f aca="false">Assumptions!$C$51</f>
        <v>1.25</v>
      </c>
    </row>
    <row r="24" customFormat="false" ht="15" hidden="false" customHeight="false" outlineLevel="0" collapsed="false">
      <c r="A24" s="12" t="s">
        <v>58</v>
      </c>
      <c r="B24" s="13"/>
      <c r="C24" s="13"/>
      <c r="D24" s="13"/>
      <c r="E24" s="13"/>
      <c r="F24" s="13"/>
      <c r="G24" s="13"/>
    </row>
    <row r="25" customFormat="false" ht="15" hidden="false" customHeight="false" outlineLevel="0" collapsed="false">
      <c r="A25" s="20" t="s">
        <v>59</v>
      </c>
      <c r="B25" s="20" t="s">
        <v>47</v>
      </c>
      <c r="C25" s="21" t="s">
        <v>48</v>
      </c>
      <c r="D25" s="21" t="s">
        <v>49</v>
      </c>
      <c r="E25" s="21" t="s">
        <v>50</v>
      </c>
      <c r="F25" s="21" t="s">
        <v>51</v>
      </c>
      <c r="G25" s="21"/>
    </row>
    <row r="26" customFormat="false" ht="15" hidden="false" customHeight="false" outlineLevel="0" collapsed="false">
      <c r="A26" s="9" t="s">
        <v>60</v>
      </c>
      <c r="B26" s="14" t="n">
        <f aca="false">Projections!D15</f>
        <v>10898.92</v>
      </c>
      <c r="C26" s="14" t="n">
        <f aca="false">Projections!E15</f>
        <v>12206.7904</v>
      </c>
      <c r="D26" s="14" t="n">
        <f aca="false">Projections!F15</f>
        <v>12931.56858</v>
      </c>
      <c r="E26" s="14" t="n">
        <f aca="false">Projections!G15</f>
        <v>13578.147009</v>
      </c>
      <c r="F26" s="14" t="n">
        <f aca="false">Projections!H15</f>
        <v>14121.27288936</v>
      </c>
    </row>
    <row r="27" customFormat="false" ht="15" hidden="false" customHeight="false" outlineLevel="0" collapsed="false">
      <c r="A27" s="9" t="s">
        <v>61</v>
      </c>
      <c r="B27" s="14" t="n">
        <f aca="false">Projections!D19</f>
        <v>2440.25224</v>
      </c>
      <c r="C27" s="14" t="n">
        <f aca="false">Projections!E19</f>
        <v>2958.9523648</v>
      </c>
      <c r="D27" s="14" t="n">
        <f aca="false">Projections!F19</f>
        <v>3110.82373146</v>
      </c>
      <c r="E27" s="14" t="n">
        <f aca="false">Projections!G19</f>
        <v>3228.951471633</v>
      </c>
      <c r="F27" s="14" t="n">
        <f aca="false">Projections!H19</f>
        <v>3304.23416768232</v>
      </c>
    </row>
    <row r="28" customFormat="false" ht="15" hidden="false" customHeight="false" outlineLevel="0" collapsed="false">
      <c r="A28" s="9" t="s">
        <v>62</v>
      </c>
      <c r="B28" s="14" t="n">
        <f aca="false">Debt_Schedule!D26</f>
        <v>3230</v>
      </c>
      <c r="C28" s="14" t="n">
        <f aca="false">Debt_Schedule!E26</f>
        <v>2430</v>
      </c>
      <c r="D28" s="14" t="n">
        <f aca="false">Debt_Schedule!F26</f>
        <v>1830</v>
      </c>
      <c r="E28" s="14" t="n">
        <f aca="false">Debt_Schedule!G26</f>
        <v>1230</v>
      </c>
      <c r="F28" s="14" t="n">
        <f aca="false">Debt_Schedule!H26</f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8" min="3" style="0" width="13"/>
  </cols>
  <sheetData>
    <row r="1" customFormat="false" ht="19.7" hidden="false" customHeight="false" outlineLevel="0" collapsed="false">
      <c r="A1" s="1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12" t="s">
        <v>65</v>
      </c>
      <c r="B4" s="13"/>
      <c r="C4" s="13"/>
      <c r="D4" s="13"/>
      <c r="E4" s="13"/>
      <c r="F4" s="13"/>
      <c r="G4" s="13"/>
      <c r="H4" s="13"/>
    </row>
    <row r="5" customFormat="false" ht="15" hidden="false" customHeight="false" outlineLevel="0" collapsed="false">
      <c r="A5" s="9" t="s">
        <v>66</v>
      </c>
      <c r="B5" s="2" t="s">
        <v>67</v>
      </c>
      <c r="C5" s="23" t="n">
        <v>0.2</v>
      </c>
    </row>
    <row r="6" customFormat="false" ht="15" hidden="false" customHeight="false" outlineLevel="0" collapsed="false">
      <c r="A6" s="9" t="s">
        <v>68</v>
      </c>
      <c r="B6" s="2" t="s">
        <v>69</v>
      </c>
      <c r="C6" s="23" t="n">
        <v>0.58</v>
      </c>
    </row>
    <row r="7" customFormat="false" ht="15" hidden="false" customHeight="false" outlineLevel="0" collapsed="false">
      <c r="A7" s="9" t="s">
        <v>70</v>
      </c>
      <c r="B7" s="2" t="s">
        <v>71</v>
      </c>
      <c r="C7" s="23" t="n">
        <v>0.65</v>
      </c>
    </row>
    <row r="8" customFormat="false" ht="15" hidden="false" customHeight="false" outlineLevel="0" collapsed="false">
      <c r="A8" s="9" t="s">
        <v>72</v>
      </c>
      <c r="B8" s="2" t="s">
        <v>73</v>
      </c>
      <c r="C8" s="23" t="n">
        <v>0.27</v>
      </c>
    </row>
    <row r="9" customFormat="false" ht="15" hidden="false" customHeight="false" outlineLevel="0" collapsed="false">
      <c r="A9" s="9" t="s">
        <v>74</v>
      </c>
      <c r="C9" s="23" t="n">
        <v>0.02</v>
      </c>
    </row>
    <row r="11" customFormat="false" ht="15" hidden="false" customHeight="false" outlineLevel="0" collapsed="false">
      <c r="A11" s="12" t="s">
        <v>75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9" t="s">
        <v>76</v>
      </c>
      <c r="B12" s="2" t="s">
        <v>77</v>
      </c>
      <c r="C12" s="24" t="n">
        <v>2400</v>
      </c>
    </row>
    <row r="13" customFormat="false" ht="15" hidden="false" customHeight="false" outlineLevel="0" collapsed="false">
      <c r="A13" s="9" t="s">
        <v>78</v>
      </c>
      <c r="B13" s="2" t="s">
        <v>79</v>
      </c>
      <c r="C13" s="24" t="n">
        <v>3200</v>
      </c>
    </row>
    <row r="14" customFormat="false" ht="15" hidden="false" customHeight="false" outlineLevel="0" collapsed="false">
      <c r="A14" s="9" t="s">
        <v>80</v>
      </c>
      <c r="B14" s="2" t="s">
        <v>81</v>
      </c>
      <c r="C14" s="25" t="n">
        <v>0.0975</v>
      </c>
    </row>
    <row r="15" customFormat="false" ht="15" hidden="false" customHeight="false" outlineLevel="0" collapsed="false">
      <c r="A15" s="9" t="s">
        <v>82</v>
      </c>
      <c r="B15" s="2" t="s">
        <v>83</v>
      </c>
      <c r="C15" s="26" t="n">
        <v>1</v>
      </c>
    </row>
    <row r="16" customFormat="false" ht="15" hidden="false" customHeight="false" outlineLevel="0" collapsed="false">
      <c r="A16" s="9" t="s">
        <v>84</v>
      </c>
      <c r="B16" s="2" t="s">
        <v>85</v>
      </c>
      <c r="C16" s="26" t="n">
        <v>4</v>
      </c>
    </row>
    <row r="17" customFormat="false" ht="15" hidden="false" customHeight="false" outlineLevel="0" collapsed="false">
      <c r="A17" s="9" t="s">
        <v>36</v>
      </c>
      <c r="B17" s="2" t="s">
        <v>86</v>
      </c>
      <c r="C17" s="24" t="n">
        <v>900</v>
      </c>
    </row>
    <row r="18" customFormat="false" ht="15" hidden="false" customHeight="false" outlineLevel="0" collapsed="false">
      <c r="A18" s="9" t="s">
        <v>87</v>
      </c>
      <c r="B18" s="2" t="s">
        <v>88</v>
      </c>
      <c r="C18" s="25" t="n">
        <v>0.09</v>
      </c>
    </row>
    <row r="19" customFormat="false" ht="15" hidden="false" customHeight="false" outlineLevel="0" collapsed="false">
      <c r="A19" s="9" t="s">
        <v>89</v>
      </c>
      <c r="C19" s="23" t="n">
        <v>0.7</v>
      </c>
    </row>
    <row r="20" customFormat="false" ht="15" hidden="false" customHeight="false" outlineLevel="0" collapsed="false">
      <c r="A20" s="9" t="s">
        <v>90</v>
      </c>
      <c r="C20" s="25" t="n">
        <v>0.005</v>
      </c>
    </row>
    <row r="21" customFormat="false" ht="15" hidden="false" customHeight="false" outlineLevel="0" collapsed="false">
      <c r="A21" s="9" t="s">
        <v>91</v>
      </c>
      <c r="B21" s="2" t="s">
        <v>92</v>
      </c>
      <c r="C21" s="25" t="n">
        <v>0.01</v>
      </c>
    </row>
    <row r="22" customFormat="false" ht="15" hidden="false" customHeight="false" outlineLevel="0" collapsed="false">
      <c r="A22" s="9" t="s">
        <v>93</v>
      </c>
      <c r="B22" s="2" t="s">
        <v>94</v>
      </c>
      <c r="C22" s="26" t="n">
        <v>1</v>
      </c>
    </row>
    <row r="24" customFormat="false" ht="15" hidden="false" customHeight="false" outlineLevel="0" collapsed="false">
      <c r="A24" s="12" t="s">
        <v>95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9" t="s">
        <v>96</v>
      </c>
      <c r="B25" s="2" t="s">
        <v>97</v>
      </c>
      <c r="C25" s="24" t="n">
        <v>400</v>
      </c>
    </row>
    <row r="26" customFormat="false" ht="15" hidden="false" customHeight="false" outlineLevel="0" collapsed="false">
      <c r="A26" s="9" t="s">
        <v>98</v>
      </c>
      <c r="B26" s="2" t="s">
        <v>99</v>
      </c>
      <c r="C26" s="24" t="n">
        <v>200</v>
      </c>
    </row>
    <row r="27" customFormat="false" ht="15" hidden="false" customHeight="false" outlineLevel="0" collapsed="false">
      <c r="A27" s="9" t="s">
        <v>100</v>
      </c>
      <c r="C27" s="25" t="n">
        <v>0.1</v>
      </c>
    </row>
    <row r="29" customFormat="false" ht="15" hidden="false" customHeight="false" outlineLevel="0" collapsed="false">
      <c r="A29" s="12" t="s">
        <v>101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20" t="s">
        <v>102</v>
      </c>
      <c r="B30" s="20" t="s">
        <v>103</v>
      </c>
      <c r="C30" s="21" t="s">
        <v>104</v>
      </c>
      <c r="D30" s="21" t="s">
        <v>47</v>
      </c>
      <c r="E30" s="21" t="s">
        <v>48</v>
      </c>
      <c r="F30" s="21" t="s">
        <v>49</v>
      </c>
      <c r="G30" s="21" t="s">
        <v>50</v>
      </c>
      <c r="H30" s="21" t="s">
        <v>51</v>
      </c>
    </row>
    <row r="31" customFormat="false" ht="15" hidden="false" customHeight="false" outlineLevel="0" collapsed="false">
      <c r="A31" s="9" t="s">
        <v>105</v>
      </c>
      <c r="B31" s="2" t="s">
        <v>106</v>
      </c>
      <c r="C31" s="24" t="n">
        <v>9700</v>
      </c>
    </row>
    <row r="32" customFormat="false" ht="15" hidden="false" customHeight="false" outlineLevel="0" collapsed="false">
      <c r="A32" s="9" t="s">
        <v>107</v>
      </c>
      <c r="B32" s="2" t="s">
        <v>108</v>
      </c>
      <c r="D32" s="23" t="n">
        <v>0.06</v>
      </c>
      <c r="E32" s="23" t="n">
        <v>0.06</v>
      </c>
      <c r="F32" s="23" t="n">
        <v>0.05</v>
      </c>
      <c r="G32" s="23" t="n">
        <v>0.05</v>
      </c>
      <c r="H32" s="23" t="n">
        <v>0.04</v>
      </c>
    </row>
    <row r="33" customFormat="false" ht="15" hidden="false" customHeight="false" outlineLevel="0" collapsed="false">
      <c r="A33" s="9" t="s">
        <v>109</v>
      </c>
      <c r="B33" s="2" t="s">
        <v>110</v>
      </c>
      <c r="C33" s="23" t="n">
        <v>0</v>
      </c>
      <c r="D33" s="23" t="n">
        <v>0.06</v>
      </c>
      <c r="E33" s="23" t="n">
        <v>0.12</v>
      </c>
      <c r="F33" s="23" t="n">
        <v>0.13</v>
      </c>
      <c r="G33" s="23" t="n">
        <v>0.13</v>
      </c>
      <c r="H33" s="23" t="n">
        <v>0.13</v>
      </c>
    </row>
    <row r="34" customFormat="false" ht="15" hidden="false" customHeight="false" outlineLevel="0" collapsed="false">
      <c r="A34" s="9" t="s">
        <v>111</v>
      </c>
      <c r="B34" s="2" t="s">
        <v>112</v>
      </c>
      <c r="C34" s="23" t="n">
        <v>0.605</v>
      </c>
      <c r="D34" s="23" t="n">
        <v>0.61</v>
      </c>
      <c r="E34" s="23" t="n">
        <v>0.61</v>
      </c>
      <c r="F34" s="23" t="n">
        <v>0.61</v>
      </c>
      <c r="G34" s="23" t="n">
        <v>0.61</v>
      </c>
      <c r="H34" s="23" t="n">
        <v>0.61</v>
      </c>
    </row>
    <row r="35" customFormat="false" ht="15" hidden="false" customHeight="false" outlineLevel="0" collapsed="false">
      <c r="A35" s="9" t="s">
        <v>113</v>
      </c>
      <c r="B35" s="2" t="s">
        <v>114</v>
      </c>
      <c r="C35" s="23" t="n">
        <v>0.088</v>
      </c>
      <c r="D35" s="23" t="n">
        <v>0.068</v>
      </c>
      <c r="E35" s="23" t="n">
        <v>0.053</v>
      </c>
      <c r="F35" s="23" t="n">
        <v>0.053</v>
      </c>
      <c r="G35" s="23" t="n">
        <v>0.053</v>
      </c>
      <c r="H35" s="23" t="n">
        <v>0.053</v>
      </c>
    </row>
    <row r="36" customFormat="false" ht="15" hidden="false" customHeight="false" outlineLevel="0" collapsed="false">
      <c r="A36" s="9" t="s">
        <v>115</v>
      </c>
      <c r="C36" s="24" t="n">
        <v>990</v>
      </c>
    </row>
    <row r="37" customFormat="false" ht="15" hidden="false" customHeight="false" outlineLevel="0" collapsed="false">
      <c r="A37" s="9" t="s">
        <v>116</v>
      </c>
      <c r="D37" s="23" t="n">
        <v>0.08</v>
      </c>
      <c r="E37" s="23" t="n">
        <v>0.08</v>
      </c>
      <c r="F37" s="23" t="n">
        <v>0.08</v>
      </c>
      <c r="G37" s="23" t="n">
        <v>0.08</v>
      </c>
      <c r="H37" s="23" t="n">
        <v>0.08</v>
      </c>
    </row>
    <row r="38" customFormat="false" ht="15" hidden="false" customHeight="false" outlineLevel="0" collapsed="false">
      <c r="A38" s="9" t="s">
        <v>117</v>
      </c>
      <c r="C38" s="24" t="n">
        <v>380</v>
      </c>
      <c r="D38" s="24" t="n">
        <v>380</v>
      </c>
      <c r="E38" s="24" t="n">
        <v>380</v>
      </c>
      <c r="F38" s="24" t="n">
        <v>380</v>
      </c>
      <c r="G38" s="24" t="n">
        <v>380</v>
      </c>
      <c r="H38" s="24" t="n">
        <v>380</v>
      </c>
    </row>
    <row r="39" customFormat="false" ht="15" hidden="false" customHeight="false" outlineLevel="0" collapsed="false">
      <c r="A39" s="9" t="s">
        <v>118</v>
      </c>
      <c r="D39" s="26" t="n">
        <v>10</v>
      </c>
      <c r="E39" s="26" t="n">
        <v>10</v>
      </c>
      <c r="F39" s="26" t="n">
        <v>10</v>
      </c>
      <c r="G39" s="26" t="n">
        <v>10</v>
      </c>
      <c r="H39" s="26" t="n">
        <v>10</v>
      </c>
    </row>
    <row r="41" customFormat="false" ht="15" hidden="false" customHeight="false" outlineLevel="0" collapsed="false">
      <c r="A41" s="12" t="s">
        <v>119</v>
      </c>
      <c r="B41" s="13"/>
      <c r="C41" s="13"/>
      <c r="D41" s="13"/>
      <c r="E41" s="13"/>
      <c r="F41" s="13"/>
      <c r="G41" s="13"/>
      <c r="H41" s="13"/>
    </row>
    <row r="42" customFormat="false" ht="15" hidden="false" customHeight="false" outlineLevel="0" collapsed="false">
      <c r="A42" s="20" t="s">
        <v>120</v>
      </c>
      <c r="B42" s="20" t="s">
        <v>103</v>
      </c>
      <c r="C42" s="21" t="s">
        <v>53</v>
      </c>
      <c r="D42" s="21" t="s">
        <v>54</v>
      </c>
      <c r="E42" s="21" t="s">
        <v>55</v>
      </c>
      <c r="F42" s="21" t="s">
        <v>56</v>
      </c>
    </row>
    <row r="43" customFormat="false" ht="15" hidden="false" customHeight="false" outlineLevel="0" collapsed="false">
      <c r="A43" s="9" t="s">
        <v>121</v>
      </c>
      <c r="C43" s="23" t="n">
        <v>0</v>
      </c>
      <c r="D43" s="23" t="n">
        <v>-0.1</v>
      </c>
      <c r="E43" s="23" t="n">
        <v>0</v>
      </c>
      <c r="F43" s="23" t="n">
        <v>-0.15</v>
      </c>
    </row>
    <row r="44" customFormat="false" ht="15" hidden="false" customHeight="false" outlineLevel="0" collapsed="false">
      <c r="A44" s="9" t="s">
        <v>122</v>
      </c>
      <c r="B44" s="2" t="s">
        <v>123</v>
      </c>
      <c r="C44" s="23" t="n">
        <v>0</v>
      </c>
      <c r="D44" s="23" t="n">
        <v>0</v>
      </c>
      <c r="E44" s="23" t="n">
        <v>0.5</v>
      </c>
      <c r="F44" s="23" t="n">
        <v>0.4</v>
      </c>
    </row>
    <row r="45" customFormat="false" ht="15" hidden="false" customHeight="false" outlineLevel="0" collapsed="false">
      <c r="A45" s="9" t="s">
        <v>124</v>
      </c>
      <c r="B45" s="2" t="s">
        <v>125</v>
      </c>
      <c r="C45" s="23" t="n">
        <v>0.5</v>
      </c>
      <c r="D45" s="23" t="n">
        <v>0.5</v>
      </c>
      <c r="E45" s="23" t="n">
        <v>0.5</v>
      </c>
      <c r="F45" s="23" t="n">
        <v>0.5</v>
      </c>
    </row>
    <row r="46" customFormat="false" ht="15" hidden="false" customHeight="false" outlineLevel="0" collapsed="false">
      <c r="A46" s="9" t="s">
        <v>126</v>
      </c>
      <c r="C46" s="23" t="n">
        <v>0</v>
      </c>
      <c r="D46" s="23" t="n">
        <v>0.015</v>
      </c>
      <c r="E46" s="23" t="n">
        <v>0</v>
      </c>
      <c r="F46" s="23" t="n">
        <v>0.02</v>
      </c>
    </row>
    <row r="47" customFormat="false" ht="15" hidden="false" customHeight="false" outlineLevel="0" collapsed="false">
      <c r="A47" s="9" t="s">
        <v>127</v>
      </c>
      <c r="B47" s="2" t="s">
        <v>128</v>
      </c>
      <c r="C47" s="23" t="n">
        <v>0</v>
      </c>
      <c r="D47" s="23" t="n">
        <v>0.01</v>
      </c>
      <c r="E47" s="23" t="n">
        <v>0</v>
      </c>
      <c r="F47" s="23" t="n">
        <v>0.015</v>
      </c>
    </row>
    <row r="48" customFormat="false" ht="15" hidden="false" customHeight="false" outlineLevel="0" collapsed="false">
      <c r="A48" s="9" t="s">
        <v>129</v>
      </c>
      <c r="C48" s="23" t="n">
        <v>0</v>
      </c>
      <c r="D48" s="23" t="n">
        <v>0.02</v>
      </c>
      <c r="E48" s="23" t="n">
        <v>0</v>
      </c>
      <c r="F48" s="23" t="n">
        <v>0.015</v>
      </c>
    </row>
    <row r="50" customFormat="false" ht="15" hidden="false" customHeight="false" outlineLevel="0" collapsed="false">
      <c r="A50" s="12" t="s">
        <v>130</v>
      </c>
      <c r="B50" s="13"/>
      <c r="C50" s="13"/>
      <c r="D50" s="13"/>
      <c r="E50" s="13"/>
      <c r="F50" s="13"/>
      <c r="G50" s="13"/>
      <c r="H50" s="13"/>
    </row>
    <row r="51" customFormat="false" ht="15" hidden="false" customHeight="false" outlineLevel="0" collapsed="false">
      <c r="A51" s="9" t="s">
        <v>131</v>
      </c>
      <c r="C51" s="27" t="n">
        <v>1.25</v>
      </c>
    </row>
    <row r="52" customFormat="false" ht="15" hidden="false" customHeight="false" outlineLevel="0" collapsed="false">
      <c r="A52" s="9" t="s">
        <v>132</v>
      </c>
      <c r="C52" s="27" t="n">
        <v>3</v>
      </c>
    </row>
    <row r="53" customFormat="false" ht="15" hidden="false" customHeight="false" outlineLevel="0" collapsed="false">
      <c r="A53" s="9" t="s">
        <v>133</v>
      </c>
      <c r="C53" s="27" t="n">
        <v>1.2</v>
      </c>
    </row>
    <row r="54" customFormat="false" ht="15" hidden="false" customHeight="false" outlineLevel="0" collapsed="false">
      <c r="A54" s="9" t="s">
        <v>134</v>
      </c>
      <c r="C54" s="27" t="n"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6" min="3" style="0" width="12"/>
  </cols>
  <sheetData>
    <row r="1" customFormat="false" ht="19.7" hidden="false" customHeight="false" outlineLevel="0" collapsed="false">
      <c r="A1" s="11" t="s">
        <v>135</v>
      </c>
    </row>
    <row r="2" customFormat="false" ht="15" hidden="false" customHeight="false" outlineLevel="0" collapsed="false">
      <c r="A2" s="2" t="s">
        <v>136</v>
      </c>
    </row>
    <row r="4" customFormat="false" ht="15" hidden="false" customHeight="false" outlineLevel="0" collapsed="false">
      <c r="A4" s="20" t="s">
        <v>59</v>
      </c>
      <c r="B4" s="20" t="s">
        <v>103</v>
      </c>
      <c r="C4" s="21"/>
      <c r="D4" s="21" t="s">
        <v>137</v>
      </c>
      <c r="E4" s="21" t="s">
        <v>138</v>
      </c>
      <c r="F4" s="21" t="s">
        <v>139</v>
      </c>
    </row>
    <row r="5" customFormat="false" ht="15" hidden="false" customHeight="false" outlineLevel="0" collapsed="false">
      <c r="A5" s="9" t="s">
        <v>60</v>
      </c>
      <c r="D5" s="24" t="n">
        <v>6180</v>
      </c>
      <c r="E5" s="24" t="n">
        <v>7420</v>
      </c>
      <c r="F5" s="24" t="n">
        <v>8860</v>
      </c>
    </row>
    <row r="6" customFormat="false" ht="15" hidden="false" customHeight="false" outlineLevel="0" collapsed="false">
      <c r="A6" s="9" t="s">
        <v>140</v>
      </c>
      <c r="D6" s="23" t="n">
        <v>0.48</v>
      </c>
      <c r="E6" s="23" t="n">
        <v>0.52</v>
      </c>
      <c r="F6" s="23" t="n">
        <v>0.55</v>
      </c>
    </row>
    <row r="7" customFormat="false" ht="15" hidden="false" customHeight="false" outlineLevel="0" collapsed="false">
      <c r="A7" s="9" t="s">
        <v>141</v>
      </c>
      <c r="D7" s="24" t="n">
        <v>-3460</v>
      </c>
      <c r="E7" s="24" t="n">
        <v>-4085</v>
      </c>
      <c r="F7" s="24" t="n">
        <v>-4785</v>
      </c>
    </row>
    <row r="8" customFormat="false" ht="15" hidden="false" customHeight="false" outlineLevel="0" collapsed="false">
      <c r="A8" s="9" t="s">
        <v>142</v>
      </c>
      <c r="D8" s="24" t="n">
        <v>-420</v>
      </c>
      <c r="E8" s="24" t="n">
        <v>-480</v>
      </c>
      <c r="F8" s="24" t="n">
        <v>-540</v>
      </c>
    </row>
    <row r="9" customFormat="false" ht="15" hidden="false" customHeight="false" outlineLevel="0" collapsed="false">
      <c r="A9" s="9" t="s">
        <v>143</v>
      </c>
      <c r="D9" s="24" t="n">
        <v>-690</v>
      </c>
      <c r="E9" s="24" t="n">
        <v>-770</v>
      </c>
      <c r="F9" s="24" t="n">
        <v>-805</v>
      </c>
    </row>
    <row r="10" customFormat="false" ht="15" hidden="false" customHeight="false" outlineLevel="0" collapsed="false">
      <c r="A10" s="28" t="s">
        <v>144</v>
      </c>
      <c r="B10" s="29"/>
      <c r="C10" s="29"/>
      <c r="D10" s="30" t="n">
        <f aca="false">SUM(D5,D7:D9)</f>
        <v>1610</v>
      </c>
      <c r="E10" s="30" t="n">
        <f aca="false">SUM(E5,E7:E9)</f>
        <v>2085</v>
      </c>
      <c r="F10" s="30" t="n">
        <f aca="false">SUM(F5,F7:F9)</f>
        <v>2730</v>
      </c>
    </row>
    <row r="11" customFormat="false" ht="15" hidden="false" customHeight="false" outlineLevel="0" collapsed="false">
      <c r="A11" s="9" t="s">
        <v>145</v>
      </c>
      <c r="D11" s="24" t="n">
        <v>-610</v>
      </c>
      <c r="E11" s="24" t="n">
        <v>-745</v>
      </c>
      <c r="F11" s="24" t="n">
        <v>-890</v>
      </c>
    </row>
    <row r="12" customFormat="false" ht="15" hidden="false" customHeight="false" outlineLevel="0" collapsed="false">
      <c r="A12" s="28" t="s">
        <v>61</v>
      </c>
      <c r="B12" s="29"/>
      <c r="C12" s="29"/>
      <c r="D12" s="30" t="n">
        <f aca="false">D10+D11</f>
        <v>1000</v>
      </c>
      <c r="E12" s="30" t="n">
        <f aca="false">E10+E11</f>
        <v>1340</v>
      </c>
      <c r="F12" s="30" t="n">
        <f aca="false">F10+F11</f>
        <v>1840</v>
      </c>
    </row>
    <row r="13" customFormat="false" ht="15" hidden="false" customHeight="false" outlineLevel="0" collapsed="false">
      <c r="A13" s="9" t="s">
        <v>146</v>
      </c>
      <c r="D13" s="24" t="n">
        <v>-300</v>
      </c>
      <c r="E13" s="24" t="n">
        <v>-330</v>
      </c>
      <c r="F13" s="24" t="n">
        <v>-360</v>
      </c>
    </row>
    <row r="14" customFormat="false" ht="15" hidden="false" customHeight="false" outlineLevel="0" collapsed="false">
      <c r="A14" s="6" t="s">
        <v>147</v>
      </c>
      <c r="D14" s="31" t="n">
        <f aca="false">D12+D13</f>
        <v>700</v>
      </c>
      <c r="E14" s="31" t="n">
        <f aca="false">E12+E13</f>
        <v>1010</v>
      </c>
      <c r="F14" s="31" t="n">
        <f aca="false">F12+F13</f>
        <v>1480</v>
      </c>
    </row>
    <row r="15" customFormat="false" ht="15" hidden="false" customHeight="false" outlineLevel="0" collapsed="false">
      <c r="A15" s="9" t="s">
        <v>148</v>
      </c>
      <c r="D15" s="24" t="n">
        <v>-170</v>
      </c>
      <c r="E15" s="24" t="n">
        <v>-150</v>
      </c>
      <c r="F15" s="24" t="n">
        <v>-125</v>
      </c>
    </row>
    <row r="16" customFormat="false" ht="15" hidden="false" customHeight="false" outlineLevel="0" collapsed="false">
      <c r="A16" s="9" t="s">
        <v>149</v>
      </c>
      <c r="D16" s="24" t="n">
        <v>-60</v>
      </c>
      <c r="E16" s="24" t="n">
        <v>-40</v>
      </c>
      <c r="F16" s="24" t="n">
        <v>-20</v>
      </c>
    </row>
    <row r="17" customFormat="false" ht="15" hidden="false" customHeight="false" outlineLevel="0" collapsed="false">
      <c r="A17" s="28" t="s">
        <v>150</v>
      </c>
      <c r="B17" s="29"/>
      <c r="C17" s="29"/>
      <c r="D17" s="30" t="n">
        <f aca="false">D14+D15+D16</f>
        <v>470</v>
      </c>
      <c r="E17" s="30" t="n">
        <f aca="false">E14+E15+E16</f>
        <v>820</v>
      </c>
      <c r="F17" s="30" t="n">
        <f aca="false">F14+F15+F16</f>
        <v>1335</v>
      </c>
    </row>
    <row r="18" customFormat="false" ht="15" hidden="false" customHeight="false" outlineLevel="0" collapsed="false">
      <c r="A18" s="9" t="s">
        <v>151</v>
      </c>
      <c r="B18" s="2" t="s">
        <v>152</v>
      </c>
      <c r="D18" s="32" t="n">
        <f aca="false">-D17*Assumptions!$C$5</f>
        <v>-94</v>
      </c>
      <c r="E18" s="32" t="n">
        <f aca="false">-E17*Assumptions!$C$5</f>
        <v>-164</v>
      </c>
      <c r="F18" s="32" t="n">
        <f aca="false">-F17*Assumptions!$C$5</f>
        <v>-267</v>
      </c>
    </row>
    <row r="19" customFormat="false" ht="15" hidden="false" customHeight="false" outlineLevel="0" collapsed="false">
      <c r="A19" s="28" t="s">
        <v>153</v>
      </c>
      <c r="B19" s="29"/>
      <c r="C19" s="29"/>
      <c r="D19" s="30" t="n">
        <f aca="false">D17+D18</f>
        <v>376</v>
      </c>
      <c r="E19" s="30" t="n">
        <f aca="false">E17+E18</f>
        <v>656</v>
      </c>
      <c r="F19" s="30" t="n">
        <f aca="false">F17+F18</f>
        <v>1068</v>
      </c>
    </row>
    <row r="20" customFormat="false" ht="15" hidden="false" customHeight="false" outlineLevel="0" collapsed="false">
      <c r="A20" s="9" t="s">
        <v>154</v>
      </c>
      <c r="D20" s="24" t="n">
        <v>-80</v>
      </c>
      <c r="E20" s="24" t="n">
        <v>-120</v>
      </c>
      <c r="F20" s="24" t="n">
        <v>-220</v>
      </c>
    </row>
    <row r="22" customFormat="false" ht="15" hidden="false" customHeight="false" outlineLevel="0" collapsed="false">
      <c r="A22" s="12" t="s">
        <v>155</v>
      </c>
      <c r="B22" s="13"/>
      <c r="C22" s="13"/>
      <c r="D22" s="13"/>
      <c r="E22" s="13"/>
      <c r="F22" s="13"/>
    </row>
    <row r="23" customFormat="false" ht="15" hidden="false" customHeight="false" outlineLevel="0" collapsed="false">
      <c r="A23" s="9" t="s">
        <v>156</v>
      </c>
      <c r="D23" s="33" t="n">
        <f aca="false">D10/D5</f>
        <v>0.260517799352751</v>
      </c>
      <c r="E23" s="33" t="n">
        <f aca="false">E10/E5</f>
        <v>0.28099730458221</v>
      </c>
      <c r="F23" s="33" t="n">
        <f aca="false">F10/F5</f>
        <v>0.308126410835214</v>
      </c>
    </row>
    <row r="24" customFormat="false" ht="15" hidden="false" customHeight="false" outlineLevel="0" collapsed="false">
      <c r="A24" s="9" t="s">
        <v>157</v>
      </c>
      <c r="D24" s="33" t="n">
        <f aca="false">D12/D5</f>
        <v>0.161812297734628</v>
      </c>
      <c r="E24" s="33" t="n">
        <f aca="false">E12/E5</f>
        <v>0.180592991913747</v>
      </c>
      <c r="F24" s="33" t="n">
        <f aca="false">F12/F5</f>
        <v>0.207674943566591</v>
      </c>
    </row>
    <row r="25" customFormat="false" ht="15" hidden="false" customHeight="false" outlineLevel="0" collapsed="false">
      <c r="A25" s="9" t="s">
        <v>158</v>
      </c>
      <c r="D25" s="33" t="n">
        <f aca="false">D19/D5</f>
        <v>0.0608414239482201</v>
      </c>
      <c r="E25" s="33" t="n">
        <f aca="false">E19/E5</f>
        <v>0.0884097035040431</v>
      </c>
      <c r="F25" s="33" t="n">
        <f aca="false">F19/F5</f>
        <v>0.120541760722348</v>
      </c>
    </row>
    <row r="26" customFormat="false" ht="15" hidden="false" customHeight="false" outlineLevel="0" collapsed="false">
      <c r="A26" s="9" t="s">
        <v>159</v>
      </c>
      <c r="E26" s="33" t="n">
        <f aca="false">E5/D5-1</f>
        <v>0.200647249190939</v>
      </c>
      <c r="F26" s="33" t="n">
        <f aca="false">F5/E5-1</f>
        <v>0.194070080862534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6" min="3" style="0" width="12"/>
  </cols>
  <sheetData>
    <row r="1" customFormat="false" ht="19.7" hidden="false" customHeight="false" outlineLevel="0" collapsed="false">
      <c r="A1" s="11" t="s">
        <v>160</v>
      </c>
    </row>
    <row r="2" customFormat="false" ht="15" hidden="false" customHeight="false" outlineLevel="0" collapsed="false">
      <c r="A2" s="2" t="s">
        <v>161</v>
      </c>
    </row>
    <row r="4" customFormat="false" ht="15" hidden="false" customHeight="false" outlineLevel="0" collapsed="false">
      <c r="A4" s="20" t="s">
        <v>59</v>
      </c>
      <c r="B4" s="20" t="s">
        <v>103</v>
      </c>
      <c r="C4" s="21" t="s">
        <v>162</v>
      </c>
      <c r="D4" s="21" t="s">
        <v>137</v>
      </c>
      <c r="E4" s="21" t="s">
        <v>138</v>
      </c>
      <c r="F4" s="21" t="s">
        <v>139</v>
      </c>
    </row>
    <row r="5" customFormat="false" ht="15" hidden="false" customHeight="false" outlineLevel="0" collapsed="false">
      <c r="A5" s="12" t="s">
        <v>163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9" t="s">
        <v>164</v>
      </c>
      <c r="B6" s="2" t="s">
        <v>165</v>
      </c>
      <c r="C6" s="24" t="n">
        <v>300</v>
      </c>
      <c r="D6" s="14" t="n">
        <f aca="false">CF!D26</f>
        <v>341</v>
      </c>
      <c r="E6" s="14" t="n">
        <f aca="false">CF!E26</f>
        <v>287</v>
      </c>
      <c r="F6" s="14" t="n">
        <f aca="false">CF!F26</f>
        <v>555</v>
      </c>
    </row>
    <row r="7" customFormat="false" ht="15" hidden="false" customHeight="false" outlineLevel="0" collapsed="false">
      <c r="A7" s="9" t="s">
        <v>166</v>
      </c>
      <c r="C7" s="24" t="n">
        <v>950</v>
      </c>
      <c r="D7" s="24" t="n">
        <v>1050</v>
      </c>
      <c r="E7" s="24" t="n">
        <v>1240</v>
      </c>
      <c r="F7" s="24" t="n">
        <v>1420</v>
      </c>
    </row>
    <row r="8" customFormat="false" ht="15" hidden="false" customHeight="false" outlineLevel="0" collapsed="false">
      <c r="A8" s="9" t="s">
        <v>167</v>
      </c>
      <c r="C8" s="24" t="n">
        <v>1500</v>
      </c>
      <c r="D8" s="24" t="n">
        <v>1640</v>
      </c>
      <c r="E8" s="24" t="n">
        <v>1880</v>
      </c>
      <c r="F8" s="24" t="n">
        <v>2120</v>
      </c>
    </row>
    <row r="9" customFormat="false" ht="15" hidden="false" customHeight="false" outlineLevel="0" collapsed="false">
      <c r="A9" s="9" t="s">
        <v>168</v>
      </c>
      <c r="C9" s="24" t="n">
        <v>150</v>
      </c>
      <c r="D9" s="24" t="n">
        <v>170</v>
      </c>
      <c r="E9" s="24" t="n">
        <v>190</v>
      </c>
      <c r="F9" s="24" t="n">
        <v>220</v>
      </c>
    </row>
    <row r="10" customFormat="false" ht="15" hidden="false" customHeight="false" outlineLevel="0" collapsed="false">
      <c r="A10" s="28" t="s">
        <v>169</v>
      </c>
      <c r="B10" s="29"/>
      <c r="C10" s="30" t="n">
        <f aca="false">SUM(C6:C9)</f>
        <v>2900</v>
      </c>
      <c r="D10" s="30" t="n">
        <f aca="false">SUM(D6:D9)</f>
        <v>3201</v>
      </c>
      <c r="E10" s="30" t="n">
        <f aca="false">SUM(E6:E9)</f>
        <v>3597</v>
      </c>
      <c r="F10" s="30" t="n">
        <f aca="false">SUM(F6:F9)</f>
        <v>4315</v>
      </c>
    </row>
    <row r="11" customFormat="false" ht="15" hidden="false" customHeight="false" outlineLevel="0" collapsed="false">
      <c r="A11" s="9" t="s">
        <v>170</v>
      </c>
      <c r="B11" s="2" t="s">
        <v>171</v>
      </c>
      <c r="C11" s="24" t="n">
        <v>2900</v>
      </c>
      <c r="D11" s="32" t="n">
        <f aca="false">C11-CF!D15+IS!D13</f>
        <v>2850</v>
      </c>
      <c r="E11" s="32" t="n">
        <f aca="false">D11-CF!E15+IS!E13</f>
        <v>2940</v>
      </c>
      <c r="F11" s="32" t="n">
        <f aca="false">E11-CF!F15+IS!F13</f>
        <v>2960</v>
      </c>
    </row>
    <row r="12" customFormat="false" ht="15" hidden="false" customHeight="false" outlineLevel="0" collapsed="false">
      <c r="A12" s="28" t="s">
        <v>172</v>
      </c>
      <c r="B12" s="29"/>
      <c r="C12" s="30" t="n">
        <f aca="false">C10+C11</f>
        <v>5800</v>
      </c>
      <c r="D12" s="30" t="n">
        <f aca="false">D10+D11</f>
        <v>6051</v>
      </c>
      <c r="E12" s="30" t="n">
        <f aca="false">E10+E11</f>
        <v>6537</v>
      </c>
      <c r="F12" s="30" t="n">
        <f aca="false">F10+F11</f>
        <v>7275</v>
      </c>
    </row>
    <row r="14" customFormat="false" ht="15" hidden="false" customHeight="false" outlineLevel="0" collapsed="false">
      <c r="A14" s="12" t="s">
        <v>173</v>
      </c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9" t="s">
        <v>174</v>
      </c>
      <c r="C15" s="24" t="n">
        <v>700</v>
      </c>
      <c r="D15" s="24" t="n">
        <v>770</v>
      </c>
      <c r="E15" s="24" t="n">
        <v>890</v>
      </c>
      <c r="F15" s="24" t="n">
        <v>990</v>
      </c>
    </row>
    <row r="16" customFormat="false" ht="15" hidden="false" customHeight="false" outlineLevel="0" collapsed="false">
      <c r="A16" s="9" t="s">
        <v>175</v>
      </c>
      <c r="C16" s="24" t="n">
        <v>200</v>
      </c>
      <c r="D16" s="24" t="n">
        <v>235</v>
      </c>
      <c r="E16" s="24" t="n">
        <v>265</v>
      </c>
      <c r="F16" s="24" t="n">
        <v>305</v>
      </c>
    </row>
    <row r="17" customFormat="false" ht="15" hidden="false" customHeight="false" outlineLevel="0" collapsed="false">
      <c r="A17" s="9" t="s">
        <v>176</v>
      </c>
      <c r="C17" s="24" t="n">
        <v>600</v>
      </c>
      <c r="D17" s="24" t="n">
        <v>650</v>
      </c>
      <c r="E17" s="24" t="n">
        <v>650</v>
      </c>
      <c r="F17" s="24" t="n">
        <v>600</v>
      </c>
    </row>
    <row r="18" customFormat="false" ht="15" hidden="false" customHeight="false" outlineLevel="0" collapsed="false">
      <c r="A18" s="28" t="s">
        <v>177</v>
      </c>
      <c r="B18" s="29"/>
      <c r="C18" s="30" t="n">
        <f aca="false">SUM(C15:C17)</f>
        <v>1500</v>
      </c>
      <c r="D18" s="30" t="n">
        <f aca="false">SUM(D15:D17)</f>
        <v>1655</v>
      </c>
      <c r="E18" s="30" t="n">
        <f aca="false">SUM(E15:E17)</f>
        <v>1805</v>
      </c>
      <c r="F18" s="30" t="n">
        <f aca="false">SUM(F15:F17)</f>
        <v>1895</v>
      </c>
    </row>
    <row r="19" customFormat="false" ht="15" hidden="false" customHeight="false" outlineLevel="0" collapsed="false">
      <c r="A19" s="9" t="s">
        <v>178</v>
      </c>
      <c r="C19" s="24" t="n">
        <v>1200</v>
      </c>
      <c r="D19" s="24" t="n">
        <v>1000</v>
      </c>
      <c r="E19" s="24" t="n">
        <v>800</v>
      </c>
      <c r="F19" s="24" t="n">
        <v>600</v>
      </c>
    </row>
    <row r="20" customFormat="false" ht="15" hidden="false" customHeight="false" outlineLevel="0" collapsed="false">
      <c r="A20" s="6" t="s">
        <v>179</v>
      </c>
      <c r="C20" s="31" t="n">
        <f aca="false">C18+C19</f>
        <v>2700</v>
      </c>
      <c r="D20" s="31" t="n">
        <f aca="false">D18+D19</f>
        <v>2655</v>
      </c>
      <c r="E20" s="31" t="n">
        <f aca="false">E18+E19</f>
        <v>2605</v>
      </c>
      <c r="F20" s="31" t="n">
        <f aca="false">F18+F19</f>
        <v>2495</v>
      </c>
    </row>
    <row r="21" customFormat="false" ht="15" hidden="false" customHeight="false" outlineLevel="0" collapsed="false">
      <c r="A21" s="9" t="s">
        <v>180</v>
      </c>
      <c r="C21" s="24" t="n">
        <v>2000</v>
      </c>
      <c r="D21" s="24" t="n">
        <v>2000</v>
      </c>
      <c r="E21" s="24" t="n">
        <v>2000</v>
      </c>
      <c r="F21" s="24" t="n">
        <v>2000</v>
      </c>
    </row>
    <row r="22" customFormat="false" ht="15" hidden="false" customHeight="false" outlineLevel="0" collapsed="false">
      <c r="A22" s="9" t="s">
        <v>181</v>
      </c>
      <c r="B22" s="2" t="s">
        <v>182</v>
      </c>
      <c r="C22" s="24" t="n">
        <v>1100</v>
      </c>
      <c r="D22" s="32" t="n">
        <f aca="false">C22+IS!D19+IS!D20</f>
        <v>1396</v>
      </c>
      <c r="E22" s="32" t="n">
        <f aca="false">D22+IS!E19+IS!E20</f>
        <v>1932</v>
      </c>
      <c r="F22" s="32" t="n">
        <f aca="false">E22+IS!F19+IS!F20</f>
        <v>2780</v>
      </c>
    </row>
    <row r="23" customFormat="false" ht="15" hidden="false" customHeight="false" outlineLevel="0" collapsed="false">
      <c r="A23" s="6" t="s">
        <v>183</v>
      </c>
      <c r="C23" s="31" t="n">
        <f aca="false">C21+C22</f>
        <v>3100</v>
      </c>
      <c r="D23" s="31" t="n">
        <f aca="false">D21+D22</f>
        <v>3396</v>
      </c>
      <c r="E23" s="31" t="n">
        <f aca="false">E21+E22</f>
        <v>3932</v>
      </c>
      <c r="F23" s="31" t="n">
        <f aca="false">F21+F22</f>
        <v>4780</v>
      </c>
    </row>
    <row r="24" customFormat="false" ht="15" hidden="false" customHeight="false" outlineLevel="0" collapsed="false">
      <c r="A24" s="28" t="s">
        <v>184</v>
      </c>
      <c r="B24" s="29"/>
      <c r="C24" s="30" t="n">
        <f aca="false">C20+C23</f>
        <v>5800</v>
      </c>
      <c r="D24" s="30" t="n">
        <f aca="false">D20+D23</f>
        <v>6051</v>
      </c>
      <c r="E24" s="30" t="n">
        <f aca="false">E20+E23</f>
        <v>6537</v>
      </c>
      <c r="F24" s="30" t="n">
        <f aca="false">F20+F23</f>
        <v>7275</v>
      </c>
    </row>
    <row r="26" customFormat="false" ht="15" hidden="false" customHeight="false" outlineLevel="0" collapsed="false">
      <c r="A26" s="6" t="s">
        <v>185</v>
      </c>
      <c r="C26" s="34" t="n">
        <f aca="false">ROUND(C12-C24,6)</f>
        <v>0</v>
      </c>
      <c r="D26" s="34" t="n">
        <f aca="false">ROUND(D12-D24,6)</f>
        <v>0</v>
      </c>
      <c r="E26" s="34" t="n">
        <f aca="false">ROUND(E12-E24,6)</f>
        <v>0</v>
      </c>
      <c r="F26" s="34" t="n">
        <f aca="false">ROUND(F12-F24,6)</f>
        <v>0</v>
      </c>
    </row>
    <row r="27" customFormat="false" ht="15" hidden="false" customHeight="false" outlineLevel="0" collapsed="false">
      <c r="A27" s="9" t="s">
        <v>186</v>
      </c>
      <c r="C27" s="32" t="n">
        <f aca="false">C17+C19</f>
        <v>1800</v>
      </c>
      <c r="D27" s="32" t="n">
        <f aca="false">D17+D19</f>
        <v>1650</v>
      </c>
      <c r="E27" s="32" t="n">
        <f aca="false">E17+E19</f>
        <v>1450</v>
      </c>
      <c r="F27" s="32" t="n">
        <f aca="false">F17+F19</f>
        <v>1200</v>
      </c>
    </row>
    <row r="28" customFormat="false" ht="15" hidden="false" customHeight="false" outlineLevel="0" collapsed="false">
      <c r="A28" s="9" t="s">
        <v>187</v>
      </c>
      <c r="C28" s="32" t="n">
        <f aca="false">C7+C8+C9-C15-C16</f>
        <v>1700</v>
      </c>
      <c r="D28" s="32" t="n">
        <f aca="false">D7+D8+D9-D15-D16</f>
        <v>1855</v>
      </c>
      <c r="E28" s="32" t="n">
        <f aca="false">E7+E8+E9-E15-E16</f>
        <v>2155</v>
      </c>
      <c r="F28" s="32" t="n">
        <f aca="false">F7+F8+F9-F15-F16</f>
        <v>2465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6" min="3" style="0" width="12"/>
  </cols>
  <sheetData>
    <row r="1" customFormat="false" ht="19.7" hidden="false" customHeight="false" outlineLevel="0" collapsed="false">
      <c r="A1" s="1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20" t="s">
        <v>59</v>
      </c>
      <c r="B4" s="20" t="s">
        <v>103</v>
      </c>
      <c r="C4" s="21"/>
      <c r="D4" s="21" t="s">
        <v>137</v>
      </c>
      <c r="E4" s="21" t="s">
        <v>138</v>
      </c>
      <c r="F4" s="21" t="s">
        <v>139</v>
      </c>
    </row>
    <row r="5" customFormat="false" ht="15" hidden="false" customHeight="false" outlineLevel="0" collapsed="false">
      <c r="A5" s="12" t="s">
        <v>190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9" t="s">
        <v>153</v>
      </c>
      <c r="D6" s="32" t="n">
        <f aca="false">IS!D19</f>
        <v>376</v>
      </c>
      <c r="E6" s="32" t="n">
        <f aca="false">IS!E19</f>
        <v>656</v>
      </c>
      <c r="F6" s="32" t="n">
        <f aca="false">IS!F19</f>
        <v>1068</v>
      </c>
    </row>
    <row r="7" customFormat="false" ht="15" hidden="false" customHeight="false" outlineLevel="0" collapsed="false">
      <c r="A7" s="9" t="s">
        <v>191</v>
      </c>
      <c r="D7" s="32" t="n">
        <f aca="false">-IS!D13</f>
        <v>300</v>
      </c>
      <c r="E7" s="32" t="n">
        <f aca="false">-IS!E13</f>
        <v>330</v>
      </c>
      <c r="F7" s="32" t="n">
        <f aca="false">-IS!F13</f>
        <v>360</v>
      </c>
    </row>
    <row r="8" customFormat="false" ht="15" hidden="false" customHeight="false" outlineLevel="0" collapsed="false">
      <c r="A8" s="9" t="s">
        <v>192</v>
      </c>
      <c r="D8" s="32" t="n">
        <f aca="false">BS!C7-BS!D7</f>
        <v>-100</v>
      </c>
      <c r="E8" s="32" t="n">
        <f aca="false">BS!D7-BS!E7</f>
        <v>-190</v>
      </c>
      <c r="F8" s="32" t="n">
        <f aca="false">BS!E7-BS!F7</f>
        <v>-180</v>
      </c>
    </row>
    <row r="9" customFormat="false" ht="15" hidden="false" customHeight="false" outlineLevel="0" collapsed="false">
      <c r="A9" s="9" t="s">
        <v>193</v>
      </c>
      <c r="D9" s="32" t="n">
        <f aca="false">BS!C8-BS!D8</f>
        <v>-140</v>
      </c>
      <c r="E9" s="32" t="n">
        <f aca="false">BS!D8-BS!E8</f>
        <v>-240</v>
      </c>
      <c r="F9" s="32" t="n">
        <f aca="false">BS!E8-BS!F8</f>
        <v>-240</v>
      </c>
    </row>
    <row r="10" customFormat="false" ht="15" hidden="false" customHeight="false" outlineLevel="0" collapsed="false">
      <c r="A10" s="9" t="s">
        <v>194</v>
      </c>
      <c r="D10" s="32" t="n">
        <f aca="false">BS!C9-BS!D9</f>
        <v>-20</v>
      </c>
      <c r="E10" s="32" t="n">
        <f aca="false">BS!D9-BS!E9</f>
        <v>-20</v>
      </c>
      <c r="F10" s="32" t="n">
        <f aca="false">BS!E9-BS!F9</f>
        <v>-30</v>
      </c>
    </row>
    <row r="11" customFormat="false" ht="15" hidden="false" customHeight="false" outlineLevel="0" collapsed="false">
      <c r="A11" s="9" t="s">
        <v>195</v>
      </c>
      <c r="D11" s="32" t="n">
        <f aca="false">BS!D15-BS!C15</f>
        <v>70</v>
      </c>
      <c r="E11" s="32" t="n">
        <f aca="false">BS!E15-BS!D15</f>
        <v>120</v>
      </c>
      <c r="F11" s="32" t="n">
        <f aca="false">BS!F15-BS!E15</f>
        <v>100</v>
      </c>
    </row>
    <row r="12" customFormat="false" ht="15" hidden="false" customHeight="false" outlineLevel="0" collapsed="false">
      <c r="A12" s="9" t="s">
        <v>196</v>
      </c>
      <c r="D12" s="32" t="n">
        <f aca="false">BS!D16-BS!C16</f>
        <v>35</v>
      </c>
      <c r="E12" s="32" t="n">
        <f aca="false">BS!E16-BS!D16</f>
        <v>30</v>
      </c>
      <c r="F12" s="32" t="n">
        <f aca="false">BS!F16-BS!E16</f>
        <v>40</v>
      </c>
    </row>
    <row r="13" customFormat="false" ht="15" hidden="false" customHeight="false" outlineLevel="0" collapsed="false">
      <c r="A13" s="28" t="s">
        <v>197</v>
      </c>
      <c r="B13" s="29"/>
      <c r="C13" s="29"/>
      <c r="D13" s="30" t="n">
        <f aca="false">SUM(D6:D12)</f>
        <v>521</v>
      </c>
      <c r="E13" s="30" t="n">
        <f aca="false">SUM(E6:E12)</f>
        <v>686</v>
      </c>
      <c r="F13" s="30" t="n">
        <f aca="false">SUM(F6:F12)</f>
        <v>1118</v>
      </c>
    </row>
    <row r="14" customFormat="false" ht="15" hidden="false" customHeight="false" outlineLevel="0" collapsed="false">
      <c r="A14" s="12" t="s">
        <v>198</v>
      </c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9" t="s">
        <v>199</v>
      </c>
      <c r="D15" s="24" t="n">
        <v>-250</v>
      </c>
      <c r="E15" s="24" t="n">
        <v>-420</v>
      </c>
      <c r="F15" s="24" t="n">
        <v>-380</v>
      </c>
    </row>
    <row r="16" customFormat="false" ht="15" hidden="false" customHeight="false" outlineLevel="0" collapsed="false">
      <c r="A16" s="6" t="s">
        <v>200</v>
      </c>
      <c r="D16" s="31" t="n">
        <f aca="false">D15</f>
        <v>-250</v>
      </c>
      <c r="E16" s="31" t="n">
        <f aca="false">E15</f>
        <v>-420</v>
      </c>
      <c r="F16" s="31" t="n">
        <f aca="false">F15</f>
        <v>-380</v>
      </c>
    </row>
    <row r="17" customFormat="false" ht="15" hidden="false" customHeight="false" outlineLevel="0" collapsed="false">
      <c r="A17" s="12" t="s">
        <v>201</v>
      </c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9" t="s">
        <v>202</v>
      </c>
      <c r="D18" s="32" t="n">
        <f aca="false">BS!D17-BS!C17</f>
        <v>50</v>
      </c>
      <c r="E18" s="32" t="n">
        <f aca="false">BS!E17-BS!D17</f>
        <v>0</v>
      </c>
      <c r="F18" s="32" t="n">
        <f aca="false">BS!F17-BS!E17</f>
        <v>-50</v>
      </c>
    </row>
    <row r="19" customFormat="false" ht="15" hidden="false" customHeight="false" outlineLevel="0" collapsed="false">
      <c r="A19" s="9" t="s">
        <v>203</v>
      </c>
      <c r="D19" s="32" t="n">
        <f aca="false">BS!D19-BS!C19</f>
        <v>-200</v>
      </c>
      <c r="E19" s="32" t="n">
        <f aca="false">BS!E19-BS!D19</f>
        <v>-200</v>
      </c>
      <c r="F19" s="32" t="n">
        <f aca="false">BS!F19-BS!E19</f>
        <v>-200</v>
      </c>
    </row>
    <row r="20" customFormat="false" ht="15" hidden="false" customHeight="false" outlineLevel="0" collapsed="false">
      <c r="A20" s="9" t="s">
        <v>154</v>
      </c>
      <c r="D20" s="32" t="n">
        <f aca="false">IS!D20</f>
        <v>-80</v>
      </c>
      <c r="E20" s="32" t="n">
        <f aca="false">IS!E20</f>
        <v>-120</v>
      </c>
      <c r="F20" s="32" t="n">
        <f aca="false">IS!F20</f>
        <v>-220</v>
      </c>
    </row>
    <row r="21" customFormat="false" ht="15" hidden="false" customHeight="false" outlineLevel="0" collapsed="false">
      <c r="A21" s="9" t="s">
        <v>204</v>
      </c>
      <c r="D21" s="32" t="n">
        <f aca="false">BS!D21-BS!C21</f>
        <v>0</v>
      </c>
      <c r="E21" s="32" t="n">
        <f aca="false">BS!E21-BS!D21</f>
        <v>0</v>
      </c>
      <c r="F21" s="32" t="n">
        <f aca="false">BS!F21-BS!E21</f>
        <v>0</v>
      </c>
    </row>
    <row r="22" customFormat="false" ht="15" hidden="false" customHeight="false" outlineLevel="0" collapsed="false">
      <c r="A22" s="28" t="s">
        <v>205</v>
      </c>
      <c r="B22" s="29"/>
      <c r="C22" s="29"/>
      <c r="D22" s="30" t="n">
        <f aca="false">SUM(D18:D21)</f>
        <v>-230</v>
      </c>
      <c r="E22" s="30" t="n">
        <f aca="false">SUM(E18:E21)</f>
        <v>-320</v>
      </c>
      <c r="F22" s="30" t="n">
        <f aca="false">SUM(F18:F21)</f>
        <v>-470</v>
      </c>
    </row>
    <row r="24" customFormat="false" ht="15" hidden="false" customHeight="false" outlineLevel="0" collapsed="false">
      <c r="A24" s="6" t="s">
        <v>206</v>
      </c>
      <c r="D24" s="31" t="n">
        <f aca="false">D13+D16+D22</f>
        <v>41</v>
      </c>
      <c r="E24" s="31" t="n">
        <f aca="false">E13+E16+E22</f>
        <v>-54</v>
      </c>
      <c r="F24" s="31" t="n">
        <f aca="false">F13+F16+F22</f>
        <v>268</v>
      </c>
    </row>
    <row r="25" customFormat="false" ht="15" hidden="false" customHeight="false" outlineLevel="0" collapsed="false">
      <c r="A25" s="9" t="s">
        <v>207</v>
      </c>
      <c r="D25" s="32" t="n">
        <f aca="false">BS!C6</f>
        <v>300</v>
      </c>
      <c r="E25" s="32" t="n">
        <f aca="false">BS!D6</f>
        <v>341</v>
      </c>
      <c r="F25" s="32" t="n">
        <f aca="false">BS!E6</f>
        <v>287</v>
      </c>
    </row>
    <row r="26" customFormat="false" ht="15" hidden="false" customHeight="false" outlineLevel="0" collapsed="false">
      <c r="A26" s="28" t="s">
        <v>208</v>
      </c>
      <c r="B26" s="29"/>
      <c r="C26" s="29"/>
      <c r="D26" s="30" t="n">
        <f aca="false">D25+D24</f>
        <v>341</v>
      </c>
      <c r="E26" s="30" t="n">
        <f aca="false">E25+E24</f>
        <v>287</v>
      </c>
      <c r="F26" s="30" t="n">
        <f aca="false">F25+F24</f>
        <v>555</v>
      </c>
    </row>
    <row r="28" customFormat="false" ht="15" hidden="false" customHeight="false" outlineLevel="0" collapsed="false">
      <c r="A28" s="9" t="s">
        <v>209</v>
      </c>
      <c r="D28" s="32" t="n">
        <f aca="false">D13+D15</f>
        <v>271</v>
      </c>
      <c r="E28" s="32" t="n">
        <f aca="false">E13+E15</f>
        <v>266</v>
      </c>
      <c r="F28" s="32" t="n">
        <f aca="false">F13+F15</f>
        <v>738</v>
      </c>
    </row>
    <row r="29" customFormat="false" ht="15" hidden="false" customHeight="false" outlineLevel="0" collapsed="false">
      <c r="A29" s="9" t="s">
        <v>210</v>
      </c>
      <c r="D29" s="32" t="n">
        <f aca="false">ROUND(D26-BS!D6,6)</f>
        <v>0</v>
      </c>
      <c r="E29" s="32" t="n">
        <f aca="false">ROUND(E26-BS!E6,6)</f>
        <v>0</v>
      </c>
      <c r="F29" s="32" t="n">
        <f aca="false">ROUND(F26-BS!F6,6)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6" min="3" style="0" width="12"/>
  </cols>
  <sheetData>
    <row r="1" customFormat="false" ht="19.7" hidden="false" customHeight="false" outlineLevel="0" collapsed="false">
      <c r="A1" s="11" t="s">
        <v>211</v>
      </c>
    </row>
    <row r="2" customFormat="false" ht="15" hidden="false" customHeight="false" outlineLevel="0" collapsed="false">
      <c r="A2" s="2" t="s">
        <v>212</v>
      </c>
    </row>
    <row r="4" customFormat="false" ht="15" hidden="false" customHeight="false" outlineLevel="0" collapsed="false">
      <c r="A4" s="20" t="s">
        <v>213</v>
      </c>
      <c r="B4" s="20" t="s">
        <v>30</v>
      </c>
      <c r="C4" s="21"/>
      <c r="D4" s="21" t="s">
        <v>137</v>
      </c>
      <c r="E4" s="21" t="s">
        <v>138</v>
      </c>
      <c r="F4" s="21" t="s">
        <v>139</v>
      </c>
    </row>
    <row r="5" customFormat="false" ht="15" hidden="false" customHeight="false" outlineLevel="0" collapsed="false">
      <c r="A5" s="12" t="s">
        <v>214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9" t="s">
        <v>156</v>
      </c>
      <c r="B6" s="2" t="s">
        <v>215</v>
      </c>
      <c r="D6" s="33" t="n">
        <f aca="false">IS!D10/IS!D5</f>
        <v>0.260517799352751</v>
      </c>
      <c r="E6" s="33" t="n">
        <f aca="false">IS!E10/IS!E5</f>
        <v>0.28099730458221</v>
      </c>
      <c r="F6" s="33" t="n">
        <f aca="false">IS!F10/IS!F5</f>
        <v>0.308126410835214</v>
      </c>
    </row>
    <row r="7" customFormat="false" ht="15" hidden="false" customHeight="false" outlineLevel="0" collapsed="false">
      <c r="A7" s="9" t="s">
        <v>157</v>
      </c>
      <c r="B7" s="2" t="s">
        <v>216</v>
      </c>
      <c r="D7" s="33" t="n">
        <f aca="false">IS!D12/IS!D5</f>
        <v>0.161812297734628</v>
      </c>
      <c r="E7" s="33" t="n">
        <f aca="false">IS!E12/IS!E5</f>
        <v>0.180592991913747</v>
      </c>
      <c r="F7" s="33" t="n">
        <f aca="false">IS!F12/IS!F5</f>
        <v>0.207674943566591</v>
      </c>
    </row>
    <row r="8" customFormat="false" ht="15" hidden="false" customHeight="false" outlineLevel="0" collapsed="false">
      <c r="A8" s="9" t="s">
        <v>158</v>
      </c>
      <c r="B8" s="2" t="s">
        <v>217</v>
      </c>
      <c r="D8" s="33" t="n">
        <f aca="false">IS!D19/IS!D5</f>
        <v>0.0608414239482201</v>
      </c>
      <c r="E8" s="33" t="n">
        <f aca="false">IS!E19/IS!E5</f>
        <v>0.0884097035040431</v>
      </c>
      <c r="F8" s="33" t="n">
        <f aca="false">IS!F19/IS!F5</f>
        <v>0.120541760722348</v>
      </c>
    </row>
    <row r="9" customFormat="false" ht="15" hidden="false" customHeight="false" outlineLevel="0" collapsed="false">
      <c r="A9" s="9" t="s">
        <v>218</v>
      </c>
      <c r="B9" s="2" t="s">
        <v>219</v>
      </c>
      <c r="D9" s="33" t="n">
        <f aca="false">IS!D19/BS!D12</f>
        <v>0.0621384895058668</v>
      </c>
      <c r="E9" s="33" t="n">
        <f aca="false">IS!E19/BS!E12</f>
        <v>0.10035184335322</v>
      </c>
      <c r="F9" s="33" t="n">
        <f aca="false">IS!F19/BS!F12</f>
        <v>0.14680412371134</v>
      </c>
    </row>
    <row r="10" customFormat="false" ht="15" hidden="false" customHeight="false" outlineLevel="0" collapsed="false">
      <c r="A10" s="9" t="s">
        <v>220</v>
      </c>
      <c r="B10" s="2" t="s">
        <v>221</v>
      </c>
      <c r="D10" s="33" t="n">
        <f aca="false">IS!D19/BS!D23</f>
        <v>0.110718492343934</v>
      </c>
      <c r="E10" s="33" t="n">
        <f aca="false">IS!E19/BS!E23</f>
        <v>0.166836215666328</v>
      </c>
      <c r="F10" s="33" t="n">
        <f aca="false">IS!F19/BS!F23</f>
        <v>0.223430962343096</v>
      </c>
    </row>
    <row r="11" customFormat="false" ht="15" hidden="false" customHeight="false" outlineLevel="0" collapsed="false">
      <c r="A11" s="12" t="s">
        <v>222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9" t="s">
        <v>223</v>
      </c>
      <c r="B12" s="2" t="s">
        <v>224</v>
      </c>
      <c r="D12" s="35" t="n">
        <f aca="false">BS!D10/BS!D18</f>
        <v>1.93413897280967</v>
      </c>
      <c r="E12" s="35" t="n">
        <f aca="false">BS!E10/BS!E18</f>
        <v>1.99279778393352</v>
      </c>
      <c r="F12" s="35" t="n">
        <f aca="false">BS!F10/BS!F18</f>
        <v>2.27704485488127</v>
      </c>
    </row>
    <row r="13" customFormat="false" ht="15" hidden="false" customHeight="false" outlineLevel="0" collapsed="false">
      <c r="A13" s="9" t="s">
        <v>225</v>
      </c>
      <c r="B13" s="2" t="s">
        <v>226</v>
      </c>
      <c r="D13" s="35" t="n">
        <f aca="false">(BS!D10-BS!D8)/BS!D18</f>
        <v>0.943202416918429</v>
      </c>
      <c r="E13" s="35" t="n">
        <f aca="false">(BS!E10-BS!E8)/BS!E18</f>
        <v>0.951246537396122</v>
      </c>
      <c r="F13" s="35" t="n">
        <f aca="false">(BS!F10-BS!F8)/BS!F18</f>
        <v>1.15831134564644</v>
      </c>
    </row>
    <row r="14" customFormat="false" ht="15" hidden="false" customHeight="false" outlineLevel="0" collapsed="false">
      <c r="A14" s="9" t="s">
        <v>227</v>
      </c>
      <c r="B14" s="2" t="s">
        <v>228</v>
      </c>
      <c r="D14" s="35" t="n">
        <f aca="false">BS!D6/BS!D18</f>
        <v>0.206042296072508</v>
      </c>
      <c r="E14" s="35" t="n">
        <f aca="false">BS!E6/BS!E18</f>
        <v>0.159002770083102</v>
      </c>
      <c r="F14" s="35" t="n">
        <f aca="false">BS!F6/BS!F18</f>
        <v>0.29287598944591</v>
      </c>
    </row>
    <row r="15" customFormat="false" ht="15" hidden="false" customHeight="false" outlineLevel="0" collapsed="false">
      <c r="A15" s="12" t="s">
        <v>229</v>
      </c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9" t="s">
        <v>230</v>
      </c>
      <c r="B16" s="2" t="s">
        <v>231</v>
      </c>
      <c r="D16" s="35" t="n">
        <f aca="false">BS!D27/BS!D23</f>
        <v>0.485865724381625</v>
      </c>
      <c r="E16" s="35" t="n">
        <f aca="false">BS!E27/BS!E23</f>
        <v>0.368769074262462</v>
      </c>
      <c r="F16" s="35" t="n">
        <f aca="false">BS!F27/BS!F23</f>
        <v>0.251046025104603</v>
      </c>
    </row>
    <row r="17" customFormat="false" ht="15" hidden="false" customHeight="false" outlineLevel="0" collapsed="false">
      <c r="A17" s="9" t="s">
        <v>232</v>
      </c>
      <c r="B17" s="2" t="s">
        <v>233</v>
      </c>
      <c r="D17" s="35" t="n">
        <f aca="false">BS!D27/IS!D12</f>
        <v>1.65</v>
      </c>
      <c r="E17" s="35" t="n">
        <f aca="false">BS!E27/IS!E12</f>
        <v>1.08208955223881</v>
      </c>
      <c r="F17" s="35" t="n">
        <f aca="false">BS!F27/IS!F12</f>
        <v>0.652173913043478</v>
      </c>
    </row>
    <row r="18" customFormat="false" ht="15" hidden="false" customHeight="false" outlineLevel="0" collapsed="false">
      <c r="A18" s="9" t="s">
        <v>234</v>
      </c>
      <c r="B18" s="2" t="s">
        <v>235</v>
      </c>
      <c r="D18" s="35" t="n">
        <f aca="false">(BS!D27-BS!D6)/IS!D12</f>
        <v>1.309</v>
      </c>
      <c r="E18" s="35" t="n">
        <f aca="false">(BS!E27-BS!E6)/IS!E12</f>
        <v>0.867910447761194</v>
      </c>
      <c r="F18" s="35" t="n">
        <f aca="false">(BS!F27-BS!F6)/IS!F12</f>
        <v>0.35054347826087</v>
      </c>
    </row>
    <row r="19" customFormat="false" ht="15" hidden="false" customHeight="false" outlineLevel="0" collapsed="false">
      <c r="A19" s="9" t="s">
        <v>236</v>
      </c>
      <c r="B19" s="2" t="s">
        <v>237</v>
      </c>
      <c r="D19" s="33" t="n">
        <f aca="false">BS!D20/BS!D12</f>
        <v>0.438770451165097</v>
      </c>
      <c r="E19" s="33" t="n">
        <f aca="false">BS!E20/BS!E12</f>
        <v>0.39850084136454</v>
      </c>
      <c r="F19" s="33" t="n">
        <f aca="false">BS!F20/BS!F12</f>
        <v>0.342955326460481</v>
      </c>
    </row>
    <row r="20" customFormat="false" ht="15" hidden="false" customHeight="false" outlineLevel="0" collapsed="false">
      <c r="A20" s="12" t="s">
        <v>238</v>
      </c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9" t="s">
        <v>239</v>
      </c>
      <c r="B21" s="2" t="s">
        <v>240</v>
      </c>
      <c r="D21" s="35" t="n">
        <f aca="false">IS!D12/-IS!D15</f>
        <v>5.88235294117647</v>
      </c>
      <c r="E21" s="35" t="n">
        <f aca="false">IS!E12/-IS!E15</f>
        <v>8.93333333333333</v>
      </c>
      <c r="F21" s="35" t="n">
        <f aca="false">IS!F12/-IS!F15</f>
        <v>14.72</v>
      </c>
    </row>
    <row r="22" customFormat="false" ht="15" hidden="false" customHeight="false" outlineLevel="0" collapsed="false">
      <c r="A22" s="9" t="s">
        <v>241</v>
      </c>
      <c r="B22" s="2" t="s">
        <v>242</v>
      </c>
      <c r="D22" s="35" t="n">
        <f aca="false">IS!D14/-IS!D15</f>
        <v>4.11764705882353</v>
      </c>
      <c r="E22" s="35" t="n">
        <f aca="false">IS!E14/-IS!E15</f>
        <v>6.73333333333333</v>
      </c>
      <c r="F22" s="35" t="n">
        <f aca="false">IS!F14/-IS!F15</f>
        <v>11.84</v>
      </c>
    </row>
    <row r="23" customFormat="false" ht="15" hidden="false" customHeight="false" outlineLevel="0" collapsed="false">
      <c r="A23" s="9" t="s">
        <v>243</v>
      </c>
      <c r="B23" s="2" t="s">
        <v>244</v>
      </c>
      <c r="D23" s="35" t="n">
        <f aca="false">(IS!D12+IS!D18-Assumptions!$C$9*IS!D5)/(-IS!D15+200)</f>
        <v>2.11459459459459</v>
      </c>
      <c r="E23" s="35" t="n">
        <f aca="false">(IS!E12+IS!E18-Assumptions!$C$9*IS!E5)/(-IS!E15+200)</f>
        <v>2.936</v>
      </c>
      <c r="F23" s="35" t="n">
        <f aca="false">(IS!F12+IS!F18-Assumptions!$C$9*IS!F5)/(-IS!F15+200)</f>
        <v>4.29476923076923</v>
      </c>
    </row>
    <row r="24" customFormat="false" ht="15" hidden="false" customHeight="false" outlineLevel="0" collapsed="false">
      <c r="A24" s="12" t="s">
        <v>245</v>
      </c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9" t="s">
        <v>246</v>
      </c>
      <c r="B25" s="2" t="s">
        <v>247</v>
      </c>
      <c r="D25" s="36" t="n">
        <f aca="false">BS!D7/IS!D5*365</f>
        <v>62.0145631067961</v>
      </c>
      <c r="E25" s="36" t="n">
        <f aca="false">BS!E7/IS!E5*365</f>
        <v>60.9973045822102</v>
      </c>
      <c r="F25" s="36" t="n">
        <f aca="false">BS!F7/IS!F5*365</f>
        <v>58.4988713318285</v>
      </c>
    </row>
    <row r="26" customFormat="false" ht="15" hidden="false" customHeight="false" outlineLevel="0" collapsed="false">
      <c r="A26" s="9" t="s">
        <v>248</v>
      </c>
      <c r="B26" s="2" t="s">
        <v>249</v>
      </c>
      <c r="D26" s="36" t="n">
        <f aca="false">BS!D8/-(IS!D7+IS!D8+IS!D9)*365</f>
        <v>130.984682713348</v>
      </c>
      <c r="E26" s="36" t="n">
        <f aca="false">BS!E8/-(IS!E7+IS!E8+IS!E9)*365</f>
        <v>128.622305529522</v>
      </c>
      <c r="F26" s="36" t="n">
        <f aca="false">BS!F8/-(IS!F7+IS!F8+IS!F9)*365</f>
        <v>126.231647634584</v>
      </c>
    </row>
    <row r="27" customFormat="false" ht="15" hidden="false" customHeight="false" outlineLevel="0" collapsed="false">
      <c r="A27" s="9" t="s">
        <v>250</v>
      </c>
      <c r="B27" s="2" t="s">
        <v>251</v>
      </c>
      <c r="D27" s="36" t="n">
        <f aca="false">BS!D15/-(IS!D7+IS!D8+IS!D9)*365</f>
        <v>61.4989059080963</v>
      </c>
      <c r="E27" s="36" t="n">
        <f aca="false">BS!E15/-(IS!E7+IS!E8+IS!E9)*365</f>
        <v>60.8903467666354</v>
      </c>
      <c r="F27" s="36" t="n">
        <f aca="false">BS!F15/-(IS!F7+IS!F8+IS!F9)*365</f>
        <v>58.9477977161501</v>
      </c>
    </row>
    <row r="28" customFormat="false" ht="15" hidden="false" customHeight="false" outlineLevel="0" collapsed="false">
      <c r="A28" s="9" t="s">
        <v>252</v>
      </c>
      <c r="B28" s="2" t="s">
        <v>253</v>
      </c>
      <c r="D28" s="36" t="n">
        <f aca="false">D25+D26-D27</f>
        <v>131.500339912048</v>
      </c>
      <c r="E28" s="36" t="n">
        <f aca="false">E25+E26-E27</f>
        <v>128.729263345097</v>
      </c>
      <c r="F28" s="36" t="n">
        <f aca="false">F25+F26-F27</f>
        <v>125.782721250262</v>
      </c>
    </row>
    <row r="29" customFormat="false" ht="15" hidden="false" customHeight="false" outlineLevel="0" collapsed="false">
      <c r="A29" s="9" t="s">
        <v>254</v>
      </c>
      <c r="B29" s="2" t="s">
        <v>255</v>
      </c>
      <c r="D29" s="35" t="n">
        <f aca="false">IS!D5/BS!D12</f>
        <v>1.0213187902826</v>
      </c>
      <c r="E29" s="35" t="n">
        <f aca="false">IS!E5/BS!E12</f>
        <v>1.13507725256234</v>
      </c>
      <c r="F29" s="35" t="n">
        <f aca="false">IS!F5/BS!F12</f>
        <v>1.21786941580756</v>
      </c>
    </row>
    <row r="30" customFormat="false" ht="15" hidden="false" customHeight="false" outlineLevel="0" collapsed="false">
      <c r="A30" s="9" t="s">
        <v>256</v>
      </c>
      <c r="B30" s="2" t="s">
        <v>257</v>
      </c>
      <c r="D30" s="33" t="n">
        <f aca="false">BS!D28/IS!D5</f>
        <v>0.300161812297735</v>
      </c>
      <c r="E30" s="33" t="n">
        <f aca="false">BS!E28/IS!E5</f>
        <v>0.290431266846361</v>
      </c>
      <c r="F30" s="33" t="n">
        <f aca="false">BS!F28/IS!F5</f>
        <v>0.278216704288939</v>
      </c>
    </row>
    <row r="31" customFormat="false" ht="15" hidden="false" customHeight="false" outlineLevel="0" collapsed="false">
      <c r="A31" s="9" t="s">
        <v>258</v>
      </c>
      <c r="B31" s="2" t="s">
        <v>259</v>
      </c>
      <c r="D31" s="35" t="n">
        <f aca="false">CF!D13/IS!D19</f>
        <v>1.38563829787234</v>
      </c>
      <c r="E31" s="35" t="n">
        <f aca="false">CF!E13/IS!E19</f>
        <v>1.04573170731707</v>
      </c>
      <c r="F31" s="35" t="n">
        <f aca="false">CF!F13/IS!F19</f>
        <v>1.04681647940075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8" min="3" style="0" width="12"/>
  </cols>
  <sheetData>
    <row r="1" customFormat="false" ht="19.7" hidden="false" customHeight="false" outlineLevel="0" collapsed="false">
      <c r="A1" s="11" t="s">
        <v>260</v>
      </c>
    </row>
    <row r="2" customFormat="false" ht="15" hidden="false" customHeight="false" outlineLevel="0" collapsed="false">
      <c r="A2" s="2" t="s">
        <v>261</v>
      </c>
    </row>
    <row r="4" customFormat="false" ht="15" hidden="false" customHeight="false" outlineLevel="0" collapsed="false">
      <c r="A4" s="20" t="s">
        <v>59</v>
      </c>
      <c r="B4" s="20" t="s">
        <v>103</v>
      </c>
      <c r="C4" s="21" t="s">
        <v>104</v>
      </c>
      <c r="D4" s="21" t="s">
        <v>47</v>
      </c>
      <c r="E4" s="21" t="s">
        <v>48</v>
      </c>
      <c r="F4" s="21" t="s">
        <v>49</v>
      </c>
      <c r="G4" s="21" t="s">
        <v>50</v>
      </c>
      <c r="H4" s="21" t="s">
        <v>51</v>
      </c>
    </row>
    <row r="5" customFormat="false" ht="15" hidden="false" customHeight="false" outlineLevel="0" collapsed="false">
      <c r="A5" s="9" t="s">
        <v>262</v>
      </c>
      <c r="C5" s="37" t="n">
        <v>0</v>
      </c>
      <c r="D5" s="37" t="n">
        <v>1</v>
      </c>
      <c r="E5" s="37" t="n">
        <v>2</v>
      </c>
      <c r="F5" s="37" t="n">
        <v>3</v>
      </c>
      <c r="G5" s="37" t="n">
        <v>4</v>
      </c>
      <c r="H5" s="37" t="n">
        <v>5</v>
      </c>
    </row>
    <row r="6" customFormat="false" ht="15" hidden="false" customHeight="false" outlineLevel="0" collapsed="false">
      <c r="A6" s="12" t="s">
        <v>35</v>
      </c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9" t="s">
        <v>263</v>
      </c>
      <c r="C7" s="32" t="n">
        <v>0</v>
      </c>
      <c r="D7" s="32" t="n">
        <f aca="false">C10</f>
        <v>2400</v>
      </c>
      <c r="E7" s="32" t="n">
        <f aca="false">D10</f>
        <v>2400</v>
      </c>
      <c r="F7" s="32" t="n">
        <f aca="false">E10</f>
        <v>1800</v>
      </c>
      <c r="G7" s="32" t="n">
        <f aca="false">F10</f>
        <v>1200</v>
      </c>
      <c r="H7" s="32" t="n">
        <f aca="false">G10</f>
        <v>600</v>
      </c>
    </row>
    <row r="8" customFormat="false" ht="15" hidden="false" customHeight="false" outlineLevel="0" collapsed="false">
      <c r="A8" s="9" t="s">
        <v>264</v>
      </c>
      <c r="C8" s="14" t="n">
        <f aca="false">Assumptions!$C$12</f>
        <v>2400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false" outlineLevel="0" collapsed="false">
      <c r="A9" s="9" t="s">
        <v>265</v>
      </c>
      <c r="B9" s="2" t="s">
        <v>266</v>
      </c>
      <c r="C9" s="32" t="n">
        <v>0</v>
      </c>
      <c r="D9" s="32" t="n">
        <f aca="false">IF(D5&lt;=Assumptions!$C$15,0,MIN(D7,Assumptions!$C$12/Assumptions!$C$16))</f>
        <v>0</v>
      </c>
      <c r="E9" s="32" t="n">
        <f aca="false">IF(E5&lt;=Assumptions!$C$15,0,MIN(E7,Assumptions!$C$12/Assumptions!$C$16))</f>
        <v>600</v>
      </c>
      <c r="F9" s="32" t="n">
        <f aca="false">IF(F5&lt;=Assumptions!$C$15,0,MIN(F7,Assumptions!$C$12/Assumptions!$C$16))</f>
        <v>600</v>
      </c>
      <c r="G9" s="32" t="n">
        <f aca="false">IF(G5&lt;=Assumptions!$C$15,0,MIN(G7,Assumptions!$C$12/Assumptions!$C$16))</f>
        <v>600</v>
      </c>
      <c r="H9" s="32" t="n">
        <f aca="false">IF(H5&lt;=Assumptions!$C$15,0,MIN(H7,Assumptions!$C$12/Assumptions!$C$16))</f>
        <v>600</v>
      </c>
    </row>
    <row r="10" customFormat="false" ht="15" hidden="false" customHeight="false" outlineLevel="0" collapsed="false">
      <c r="A10" s="6" t="s">
        <v>267</v>
      </c>
      <c r="C10" s="31" t="n">
        <f aca="false">C7+C8-C9</f>
        <v>2400</v>
      </c>
      <c r="D10" s="31" t="n">
        <f aca="false">D7+D8-D9</f>
        <v>2400</v>
      </c>
      <c r="E10" s="31" t="n">
        <f aca="false">E7+E8-E9</f>
        <v>1800</v>
      </c>
      <c r="F10" s="31" t="n">
        <f aca="false">F7+F8-F9</f>
        <v>1200</v>
      </c>
      <c r="G10" s="31" t="n">
        <f aca="false">G7+G8-G9</f>
        <v>600</v>
      </c>
      <c r="H10" s="31" t="n">
        <f aca="false">H7+H8-H9</f>
        <v>0</v>
      </c>
    </row>
    <row r="11" customFormat="false" ht="15" hidden="false" customHeight="false" outlineLevel="0" collapsed="false">
      <c r="A11" s="9" t="s">
        <v>268</v>
      </c>
      <c r="D11" s="32" t="n">
        <f aca="false">D7*Assumptions!$C$14</f>
        <v>234</v>
      </c>
      <c r="E11" s="32" t="n">
        <f aca="false">E7*Assumptions!$C$14</f>
        <v>234</v>
      </c>
      <c r="F11" s="32" t="n">
        <f aca="false">F7*Assumptions!$C$14</f>
        <v>175.5</v>
      </c>
      <c r="G11" s="32" t="n">
        <f aca="false">G7*Assumptions!$C$14</f>
        <v>117</v>
      </c>
      <c r="H11" s="32" t="n">
        <f aca="false">H7*Assumptions!$C$14</f>
        <v>58.5</v>
      </c>
    </row>
    <row r="12" customFormat="false" ht="15" hidden="false" customHeight="false" outlineLevel="0" collapsed="false">
      <c r="A12" s="12" t="s">
        <v>269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9" t="s">
        <v>270</v>
      </c>
      <c r="B13" s="2" t="s">
        <v>271</v>
      </c>
      <c r="C13" s="32" t="n">
        <f aca="false">Assumptions!$C$17*Assumptions!$C$19</f>
        <v>630</v>
      </c>
      <c r="D13" s="32" t="n">
        <f aca="false">Assumptions!$C$17*Assumptions!$C$19</f>
        <v>630</v>
      </c>
      <c r="E13" s="32" t="n">
        <f aca="false">Assumptions!$C$17*Assumptions!$C$19</f>
        <v>630</v>
      </c>
      <c r="F13" s="32" t="n">
        <f aca="false">Assumptions!$C$17*Assumptions!$C$19</f>
        <v>630</v>
      </c>
      <c r="G13" s="32" t="n">
        <f aca="false">Assumptions!$C$17*Assumptions!$C$19</f>
        <v>630</v>
      </c>
      <c r="H13" s="32" t="n">
        <f aca="false">Assumptions!$C$17*Assumptions!$C$19</f>
        <v>630</v>
      </c>
    </row>
    <row r="14" customFormat="false" ht="15" hidden="false" customHeight="false" outlineLevel="0" collapsed="false">
      <c r="A14" s="9" t="s">
        <v>272</v>
      </c>
      <c r="D14" s="32" t="n">
        <f aca="false">D13*Assumptions!$C$18</f>
        <v>56.7</v>
      </c>
      <c r="E14" s="32" t="n">
        <f aca="false">E13*Assumptions!$C$18</f>
        <v>56.7</v>
      </c>
      <c r="F14" s="32" t="n">
        <f aca="false">F13*Assumptions!$C$18</f>
        <v>56.7</v>
      </c>
      <c r="G14" s="32" t="n">
        <f aca="false">G13*Assumptions!$C$18</f>
        <v>56.7</v>
      </c>
      <c r="H14" s="32" t="n">
        <f aca="false">H13*Assumptions!$C$18</f>
        <v>56.7</v>
      </c>
    </row>
    <row r="15" customFormat="false" ht="15" hidden="false" customHeight="false" outlineLevel="0" collapsed="false">
      <c r="A15" s="9" t="s">
        <v>273</v>
      </c>
      <c r="D15" s="32" t="n">
        <f aca="false">(Assumptions!$C$17-D13)*Assumptions!$C$20</f>
        <v>1.35</v>
      </c>
      <c r="E15" s="32" t="n">
        <f aca="false">(Assumptions!$C$17-E13)*Assumptions!$C$20</f>
        <v>1.35</v>
      </c>
      <c r="F15" s="32" t="n">
        <f aca="false">(Assumptions!$C$17-F13)*Assumptions!$C$20</f>
        <v>1.35</v>
      </c>
      <c r="G15" s="32" t="n">
        <f aca="false">(Assumptions!$C$17-G13)*Assumptions!$C$20</f>
        <v>1.35</v>
      </c>
      <c r="H15" s="32" t="n">
        <f aca="false">(Assumptions!$C$17-H13)*Assumptions!$C$20</f>
        <v>1.35</v>
      </c>
    </row>
    <row r="16" customFormat="false" ht="15" hidden="false" customHeight="false" outlineLevel="0" collapsed="false">
      <c r="A16" s="12" t="s">
        <v>274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9" t="s">
        <v>263</v>
      </c>
      <c r="D17" s="32" t="n">
        <f aca="false">C19</f>
        <v>400</v>
      </c>
      <c r="E17" s="32" t="n">
        <f aca="false">D19</f>
        <v>200</v>
      </c>
      <c r="F17" s="32" t="n">
        <f aca="false">E19</f>
        <v>0</v>
      </c>
      <c r="G17" s="32" t="n">
        <f aca="false">F19</f>
        <v>0</v>
      </c>
      <c r="H17" s="32" t="n">
        <f aca="false">G19</f>
        <v>0</v>
      </c>
    </row>
    <row r="18" customFormat="false" ht="15" hidden="false" customHeight="false" outlineLevel="0" collapsed="false">
      <c r="A18" s="9" t="s">
        <v>275</v>
      </c>
      <c r="D18" s="32" t="n">
        <f aca="false">MIN(D17,Assumptions!$C$26)</f>
        <v>200</v>
      </c>
      <c r="E18" s="32" t="n">
        <f aca="false">MIN(E17,Assumptions!$C$26)</f>
        <v>200</v>
      </c>
      <c r="F18" s="32" t="n">
        <f aca="false">MIN(F17,Assumptions!$C$26)</f>
        <v>0</v>
      </c>
      <c r="G18" s="32" t="n">
        <f aca="false">MIN(G17,Assumptions!$C$26)</f>
        <v>0</v>
      </c>
      <c r="H18" s="32" t="n">
        <f aca="false">MIN(H17,Assumptions!$C$26)</f>
        <v>0</v>
      </c>
    </row>
    <row r="19" customFormat="false" ht="15" hidden="false" customHeight="false" outlineLevel="0" collapsed="false">
      <c r="A19" s="6" t="s">
        <v>267</v>
      </c>
      <c r="C19" s="14" t="n">
        <f aca="false">Assumptions!$C$25</f>
        <v>400</v>
      </c>
      <c r="D19" s="31" t="n">
        <f aca="false">D17-D18</f>
        <v>200</v>
      </c>
      <c r="E19" s="31" t="n">
        <f aca="false">E17-E18</f>
        <v>0</v>
      </c>
      <c r="F19" s="31" t="n">
        <f aca="false">F17-F18</f>
        <v>0</v>
      </c>
      <c r="G19" s="31" t="n">
        <f aca="false">G17-G18</f>
        <v>0</v>
      </c>
      <c r="H19" s="31" t="n">
        <f aca="false">H17-H18</f>
        <v>0</v>
      </c>
    </row>
    <row r="20" customFormat="false" ht="15" hidden="false" customHeight="false" outlineLevel="0" collapsed="false">
      <c r="A20" s="9" t="s">
        <v>268</v>
      </c>
      <c r="D20" s="32" t="n">
        <f aca="false">D17*Assumptions!$C$27</f>
        <v>40</v>
      </c>
      <c r="E20" s="32" t="n">
        <f aca="false">E17*Assumptions!$C$27</f>
        <v>20</v>
      </c>
      <c r="F20" s="32" t="n">
        <f aca="false">F17*Assumptions!$C$27</f>
        <v>0</v>
      </c>
      <c r="G20" s="32" t="n">
        <f aca="false">G17*Assumptions!$C$27</f>
        <v>0</v>
      </c>
      <c r="H20" s="32" t="n">
        <f aca="false">H17*Assumptions!$C$27</f>
        <v>0</v>
      </c>
    </row>
    <row r="21" customFormat="false" ht="15" hidden="false" customHeight="false" outlineLevel="0" collapsed="false">
      <c r="A21" s="12" t="s">
        <v>276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A22" s="6" t="s">
        <v>277</v>
      </c>
      <c r="D22" s="31" t="n">
        <f aca="false">D11+D14+D15+D20</f>
        <v>332.05</v>
      </c>
      <c r="E22" s="31" t="n">
        <f aca="false">E11+E14+E15+E20</f>
        <v>312.05</v>
      </c>
      <c r="F22" s="31" t="n">
        <f aca="false">F11+F14+F15+F20</f>
        <v>233.55</v>
      </c>
      <c r="G22" s="31" t="n">
        <f aca="false">G11+G14+G15+G20</f>
        <v>175.05</v>
      </c>
      <c r="H22" s="31" t="n">
        <f aca="false">H11+H14+H15+H20</f>
        <v>116.55</v>
      </c>
    </row>
    <row r="23" customFormat="false" ht="15" hidden="false" customHeight="false" outlineLevel="0" collapsed="false">
      <c r="A23" s="6" t="s">
        <v>278</v>
      </c>
      <c r="D23" s="31" t="n">
        <f aca="false">D9+D18</f>
        <v>200</v>
      </c>
      <c r="E23" s="31" t="n">
        <f aca="false">E9+E18</f>
        <v>800</v>
      </c>
      <c r="F23" s="31" t="n">
        <f aca="false">F9+F18</f>
        <v>600</v>
      </c>
      <c r="G23" s="31" t="n">
        <f aca="false">G9+G18</f>
        <v>600</v>
      </c>
      <c r="H23" s="31" t="n">
        <f aca="false">H9+H18</f>
        <v>600</v>
      </c>
    </row>
    <row r="24" customFormat="false" ht="15" hidden="false" customHeight="false" outlineLevel="0" collapsed="false">
      <c r="A24" s="6" t="s">
        <v>279</v>
      </c>
      <c r="D24" s="31" t="n">
        <f aca="false">D22+D23</f>
        <v>532.05</v>
      </c>
      <c r="E24" s="31" t="n">
        <f aca="false">E22+E23</f>
        <v>1112.05</v>
      </c>
      <c r="F24" s="31" t="n">
        <f aca="false">F22+F23</f>
        <v>833.55</v>
      </c>
      <c r="G24" s="31" t="n">
        <f aca="false">G22+G23</f>
        <v>775.05</v>
      </c>
      <c r="H24" s="31" t="n">
        <f aca="false">H22+H23</f>
        <v>716.55</v>
      </c>
    </row>
    <row r="25" customFormat="false" ht="15" hidden="false" customHeight="false" outlineLevel="0" collapsed="false">
      <c r="A25" s="9" t="s">
        <v>280</v>
      </c>
      <c r="B25" s="2" t="s">
        <v>281</v>
      </c>
      <c r="D25" s="32" t="n">
        <f aca="false">D7+D13+D17</f>
        <v>3430</v>
      </c>
      <c r="E25" s="32" t="n">
        <f aca="false">E7+E13+E17</f>
        <v>3230</v>
      </c>
      <c r="F25" s="32" t="n">
        <f aca="false">F7+F13+F17</f>
        <v>2430</v>
      </c>
      <c r="G25" s="32" t="n">
        <f aca="false">G7+G13+G17</f>
        <v>1830</v>
      </c>
      <c r="H25" s="32" t="n">
        <f aca="false">H7+H13+H17</f>
        <v>1230</v>
      </c>
    </row>
    <row r="26" customFormat="false" ht="15" hidden="false" customHeight="false" outlineLevel="0" collapsed="false">
      <c r="A26" s="6" t="s">
        <v>282</v>
      </c>
      <c r="B26" s="2" t="s">
        <v>283</v>
      </c>
      <c r="C26" s="31" t="n">
        <f aca="false">C10+C13+C19</f>
        <v>3430</v>
      </c>
      <c r="D26" s="31" t="n">
        <f aca="false">D10+D13+D19</f>
        <v>3230</v>
      </c>
      <c r="E26" s="31" t="n">
        <f aca="false">E10+E13+E19</f>
        <v>2430</v>
      </c>
      <c r="F26" s="31" t="n">
        <f aca="false">F10+F13+F19</f>
        <v>1830</v>
      </c>
      <c r="G26" s="31" t="n">
        <f aca="false">G10+G13+G19</f>
        <v>1230</v>
      </c>
      <c r="H26" s="31" t="n">
        <f aca="false">H10+H13+H19</f>
        <v>630</v>
      </c>
    </row>
    <row r="27" customFormat="false" ht="15" hidden="false" customHeight="false" outlineLevel="0" collapsed="false">
      <c r="A27" s="9" t="s">
        <v>284</v>
      </c>
      <c r="C27" s="32" t="n">
        <f aca="false">MAX(D24:H24)/4*Assumptions!$C$22</f>
        <v>278.0125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9" min="3" style="0" width="12"/>
  </cols>
  <sheetData>
    <row r="1" customFormat="false" ht="19.7" hidden="false" customHeight="false" outlineLevel="0" collapsed="false">
      <c r="A1" s="11" t="s">
        <v>285</v>
      </c>
    </row>
    <row r="2" customFormat="false" ht="15" hidden="false" customHeight="false" outlineLevel="0" collapsed="false">
      <c r="A2" s="2" t="s">
        <v>286</v>
      </c>
    </row>
    <row r="4" customFormat="false" ht="15" hidden="false" customHeight="false" outlineLevel="0" collapsed="false">
      <c r="A4" s="20" t="s">
        <v>59</v>
      </c>
      <c r="B4" s="20" t="s">
        <v>103</v>
      </c>
      <c r="C4" s="21" t="s">
        <v>104</v>
      </c>
      <c r="D4" s="21" t="s">
        <v>47</v>
      </c>
      <c r="E4" s="21" t="s">
        <v>48</v>
      </c>
      <c r="F4" s="21" t="s">
        <v>49</v>
      </c>
      <c r="G4" s="21" t="s">
        <v>50</v>
      </c>
      <c r="H4" s="21" t="s">
        <v>51</v>
      </c>
      <c r="I4" s="21" t="s">
        <v>287</v>
      </c>
    </row>
    <row r="5" customFormat="false" ht="15" hidden="false" customHeight="false" outlineLevel="0" collapsed="false">
      <c r="A5" s="12" t="s">
        <v>288</v>
      </c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9" t="s">
        <v>289</v>
      </c>
      <c r="C6" s="14" t="n">
        <f aca="false">Assumptions!C31</f>
        <v>9700</v>
      </c>
      <c r="D6" s="32" t="n">
        <f aca="false">C6*(1+Assumptions!D32)</f>
        <v>10282</v>
      </c>
      <c r="E6" s="32" t="n">
        <f aca="false">D6*(1+Assumptions!E32)</f>
        <v>10898.92</v>
      </c>
      <c r="F6" s="32" t="n">
        <f aca="false">E6*(1+Assumptions!F32)</f>
        <v>11443.866</v>
      </c>
      <c r="G6" s="32" t="n">
        <f aca="false">F6*(1+Assumptions!G32)</f>
        <v>12016.0593</v>
      </c>
      <c r="H6" s="32" t="n">
        <f aca="false">G6*(1+Assumptions!H32)</f>
        <v>12496.701672</v>
      </c>
    </row>
    <row r="7" customFormat="false" ht="15" hidden="false" customHeight="false" outlineLevel="0" collapsed="false">
      <c r="A7" s="6" t="s">
        <v>290</v>
      </c>
      <c r="C7" s="31" t="n">
        <f aca="false">C6*(1+Assumptions!C33)</f>
        <v>9700</v>
      </c>
      <c r="D7" s="31" t="n">
        <f aca="false">D6*(1+Assumptions!D33)</f>
        <v>10898.92</v>
      </c>
      <c r="E7" s="31" t="n">
        <f aca="false">E6*(1+Assumptions!E33)</f>
        <v>12206.7904</v>
      </c>
      <c r="F7" s="31" t="n">
        <f aca="false">F6*(1+Assumptions!F33)</f>
        <v>12931.56858</v>
      </c>
      <c r="G7" s="31" t="n">
        <f aca="false">G6*(1+Assumptions!G33)</f>
        <v>13578.147009</v>
      </c>
      <c r="H7" s="31" t="n">
        <f aca="false">H6*(1+Assumptions!H33)</f>
        <v>14121.27288936</v>
      </c>
    </row>
    <row r="8" customFormat="false" ht="15" hidden="false" customHeight="false" outlineLevel="0" collapsed="false">
      <c r="A8" s="9" t="s">
        <v>291</v>
      </c>
      <c r="C8" s="14" t="n">
        <f aca="false">Assumptions!C36</f>
        <v>990</v>
      </c>
      <c r="D8" s="32" t="n">
        <f aca="false">C8*(1+Assumptions!D37)</f>
        <v>1069.2</v>
      </c>
      <c r="E8" s="32" t="n">
        <f aca="false">D8*(1+Assumptions!E37)</f>
        <v>1154.736</v>
      </c>
      <c r="F8" s="32" t="n">
        <f aca="false">E8*(1+Assumptions!F37)</f>
        <v>1247.11488</v>
      </c>
      <c r="G8" s="32" t="n">
        <f aca="false">F8*(1+Assumptions!G37)</f>
        <v>1346.8840704</v>
      </c>
      <c r="H8" s="32" t="n">
        <f aca="false">G8*(1+Assumptions!H37)</f>
        <v>1454.634796032</v>
      </c>
    </row>
    <row r="9" customFormat="false" ht="15" hidden="false" customHeight="false" outlineLevel="0" collapsed="false">
      <c r="A9" s="9" t="s">
        <v>292</v>
      </c>
      <c r="C9" s="32" t="n">
        <f aca="false">Assumptions!C38</f>
        <v>380</v>
      </c>
      <c r="D9" s="32" t="n">
        <f aca="false">Assumptions!D38+Assumptions!$C$13/Assumptions!D39</f>
        <v>700</v>
      </c>
      <c r="E9" s="32" t="n">
        <f aca="false">Assumptions!E38+Assumptions!$C$13/Assumptions!E39</f>
        <v>700</v>
      </c>
      <c r="F9" s="32" t="n">
        <f aca="false">Assumptions!F38+Assumptions!$C$13/Assumptions!F39</f>
        <v>700</v>
      </c>
      <c r="G9" s="32" t="n">
        <f aca="false">Assumptions!G38+Assumptions!$C$13/Assumptions!G39</f>
        <v>700</v>
      </c>
      <c r="H9" s="32" t="n">
        <f aca="false">Assumptions!H38+Assumptions!$C$13/Assumptions!H39</f>
        <v>700</v>
      </c>
    </row>
    <row r="10" customFormat="false" ht="15" hidden="false" customHeight="false" outlineLevel="0" collapsed="false">
      <c r="A10" s="9" t="s">
        <v>293</v>
      </c>
      <c r="C10" s="31" t="n">
        <f aca="false">C7*(1-Assumptions!C34-Assumptions!C35)-C8</f>
        <v>1987.9</v>
      </c>
    </row>
    <row r="12" customFormat="false" ht="15" hidden="false" customHeight="false" outlineLevel="0" collapsed="false">
      <c r="A12" s="12" t="s">
        <v>294</v>
      </c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9" t="s">
        <v>295</v>
      </c>
      <c r="B13" s="2" t="s">
        <v>296</v>
      </c>
      <c r="D13" s="38" t="n">
        <f aca="false">(1+Assumptions!$C$45*Assumptions!$C$44)/(1+Assumptions!$C$44)</f>
        <v>1</v>
      </c>
      <c r="E13" s="38" t="n">
        <f aca="false">(1+Assumptions!$C$45*Assumptions!$C$44)/(1+Assumptions!$C$44)</f>
        <v>1</v>
      </c>
      <c r="F13" s="38" t="n">
        <f aca="false">(1+Assumptions!$C$45*Assumptions!$C$44)/(1+Assumptions!$C$44)</f>
        <v>1</v>
      </c>
      <c r="G13" s="38" t="n">
        <f aca="false">(1+Assumptions!$C$45*Assumptions!$C$44)/(1+Assumptions!$C$44)</f>
        <v>1</v>
      </c>
      <c r="H13" s="38" t="n">
        <f aca="false">(1+Assumptions!$C$45*Assumptions!$C$44)/(1+Assumptions!$C$44)</f>
        <v>1</v>
      </c>
    </row>
    <row r="14" customFormat="false" ht="15" hidden="false" customHeight="false" outlineLevel="0" collapsed="false">
      <c r="A14" s="9" t="s">
        <v>297</v>
      </c>
      <c r="B14" s="2" t="s">
        <v>298</v>
      </c>
      <c r="D14" s="32" t="n">
        <f aca="false">D7*(1+Assumptions!$C$43)</f>
        <v>10898.92</v>
      </c>
      <c r="E14" s="32" t="n">
        <f aca="false">E7*(1+Assumptions!$C$43)</f>
        <v>12206.7904</v>
      </c>
      <c r="F14" s="32" t="n">
        <f aca="false">F7*(1+Assumptions!$C$43)</f>
        <v>12931.56858</v>
      </c>
      <c r="G14" s="32" t="n">
        <f aca="false">G7*(1+Assumptions!$C$43)</f>
        <v>13578.147009</v>
      </c>
      <c r="H14" s="32" t="n">
        <f aca="false">H7*(1+Assumptions!$C$43)</f>
        <v>14121.27288936</v>
      </c>
    </row>
    <row r="15" customFormat="false" ht="15" hidden="false" customHeight="false" outlineLevel="0" collapsed="false">
      <c r="A15" s="6" t="s">
        <v>299</v>
      </c>
      <c r="B15" s="2" t="s">
        <v>300</v>
      </c>
      <c r="D15" s="31" t="n">
        <f aca="false">D14*(Assumptions!$C$6+(1-Assumptions!$C$6)*D13)</f>
        <v>10898.92</v>
      </c>
      <c r="E15" s="31" t="n">
        <f aca="false">E14*(Assumptions!$C$6+(1-Assumptions!$C$6)*E13)</f>
        <v>12206.7904</v>
      </c>
      <c r="F15" s="31" t="n">
        <f aca="false">F14*(Assumptions!$C$6+(1-Assumptions!$C$6)*F13)</f>
        <v>12931.56858</v>
      </c>
      <c r="G15" s="31" t="n">
        <f aca="false">G14*(Assumptions!$C$6+(1-Assumptions!$C$6)*G13)</f>
        <v>13578.147009</v>
      </c>
      <c r="H15" s="31" t="n">
        <f aca="false">H14*(Assumptions!$C$6+(1-Assumptions!$C$6)*H13)</f>
        <v>14121.27288936</v>
      </c>
    </row>
    <row r="16" customFormat="false" ht="15" hidden="false" customHeight="false" outlineLevel="0" collapsed="false">
      <c r="A16" s="9" t="s">
        <v>301</v>
      </c>
      <c r="B16" s="2" t="s">
        <v>302</v>
      </c>
      <c r="D16" s="32" t="n">
        <f aca="false">-D14*(Assumptions!D34+Assumptions!$C$46)</f>
        <v>-6648.3412</v>
      </c>
      <c r="E16" s="32" t="n">
        <f aca="false">-E14*(Assumptions!E34+Assumptions!$C$46)</f>
        <v>-7446.142144</v>
      </c>
      <c r="F16" s="32" t="n">
        <f aca="false">-F14*(Assumptions!F34+Assumptions!$C$46)</f>
        <v>-7888.2568338</v>
      </c>
      <c r="G16" s="32" t="n">
        <f aca="false">-G14*(Assumptions!G34+Assumptions!$C$46)</f>
        <v>-8282.66967549</v>
      </c>
      <c r="H16" s="32" t="n">
        <f aca="false">-H14*(Assumptions!H34+Assumptions!$C$46)</f>
        <v>-8613.9764625096</v>
      </c>
    </row>
    <row r="17" customFormat="false" ht="15" hidden="false" customHeight="false" outlineLevel="0" collapsed="false">
      <c r="A17" s="9" t="s">
        <v>303</v>
      </c>
      <c r="D17" s="32" t="n">
        <f aca="false">-D14*(Assumptions!D35+Assumptions!$C$47)</f>
        <v>-741.12656</v>
      </c>
      <c r="E17" s="32" t="n">
        <f aca="false">-E14*(Assumptions!E35+Assumptions!$C$47)</f>
        <v>-646.9598912</v>
      </c>
      <c r="F17" s="32" t="n">
        <f aca="false">-F14*(Assumptions!F35+Assumptions!$C$47)</f>
        <v>-685.37313474</v>
      </c>
      <c r="G17" s="32" t="n">
        <f aca="false">-G14*(Assumptions!G35+Assumptions!$C$47)</f>
        <v>-719.641791477</v>
      </c>
      <c r="H17" s="32" t="n">
        <f aca="false">-H14*(Assumptions!H35+Assumptions!$C$47)</f>
        <v>-748.42746313608</v>
      </c>
    </row>
    <row r="18" customFormat="false" ht="15" hidden="false" customHeight="false" outlineLevel="0" collapsed="false">
      <c r="A18" s="9" t="s">
        <v>304</v>
      </c>
      <c r="B18" s="2" t="s">
        <v>305</v>
      </c>
      <c r="D18" s="32" t="n">
        <f aca="false">-D8*((1-Assumptions!$C$7)+Assumptions!$C$7*D13)</f>
        <v>-1069.2</v>
      </c>
      <c r="E18" s="32" t="n">
        <f aca="false">-E8*((1-Assumptions!$C$7)+Assumptions!$C$7*E13)</f>
        <v>-1154.736</v>
      </c>
      <c r="F18" s="32" t="n">
        <f aca="false">-F8*((1-Assumptions!$C$7)+Assumptions!$C$7*F13)</f>
        <v>-1247.11488</v>
      </c>
      <c r="G18" s="32" t="n">
        <f aca="false">-G8*((1-Assumptions!$C$7)+Assumptions!$C$7*G13)</f>
        <v>-1346.8840704</v>
      </c>
      <c r="H18" s="32" t="n">
        <f aca="false">-H8*((1-Assumptions!$C$7)+Assumptions!$C$7*H13)</f>
        <v>-1454.634796032</v>
      </c>
    </row>
    <row r="19" customFormat="false" ht="15" hidden="false" customHeight="false" outlineLevel="0" collapsed="false">
      <c r="A19" s="28" t="s">
        <v>61</v>
      </c>
      <c r="B19" s="29"/>
      <c r="C19" s="29"/>
      <c r="D19" s="30" t="n">
        <f aca="false">SUM(D15:D18)</f>
        <v>2440.25224</v>
      </c>
      <c r="E19" s="30" t="n">
        <f aca="false">SUM(E15:E18)</f>
        <v>2958.9523648</v>
      </c>
      <c r="F19" s="30" t="n">
        <f aca="false">SUM(F15:F18)</f>
        <v>3110.82373146</v>
      </c>
      <c r="G19" s="30" t="n">
        <f aca="false">SUM(G15:G18)</f>
        <v>3228.951471633</v>
      </c>
      <c r="H19" s="30" t="n">
        <f aca="false">SUM(H15:H18)</f>
        <v>3304.23416768232</v>
      </c>
      <c r="I19" s="30" t="n">
        <f aca="false">MIN(D19:H19)</f>
        <v>2440.25224</v>
      </c>
    </row>
    <row r="20" customFormat="false" ht="15" hidden="false" customHeight="false" outlineLevel="0" collapsed="false">
      <c r="A20" s="9" t="s">
        <v>157</v>
      </c>
      <c r="D20" s="33" t="n">
        <f aca="false">D19/D15</f>
        <v>0.22389853673575</v>
      </c>
      <c r="E20" s="33" t="n">
        <f aca="false">E19/E15</f>
        <v>0.242402160423759</v>
      </c>
      <c r="F20" s="33" t="n">
        <f aca="false">F19/F15</f>
        <v>0.240560432573602</v>
      </c>
      <c r="G20" s="33" t="n">
        <f aca="false">G19/G15</f>
        <v>0.237805016361419</v>
      </c>
      <c r="H20" s="33" t="n">
        <f aca="false">H19/H15</f>
        <v>0.233989824683012</v>
      </c>
    </row>
    <row r="21" customFormat="false" ht="15" hidden="false" customHeight="false" outlineLevel="0" collapsed="false">
      <c r="A21" s="9" t="s">
        <v>306</v>
      </c>
      <c r="B21" s="2" t="s">
        <v>307</v>
      </c>
      <c r="D21" s="32" t="n">
        <f aca="false">Debt_Schedule!D22+Assumptions!$C$48*Debt_Schedule!D25</f>
        <v>332.05</v>
      </c>
      <c r="E21" s="32" t="n">
        <f aca="false">Debt_Schedule!E22+Assumptions!$C$48*Debt_Schedule!E25</f>
        <v>312.05</v>
      </c>
      <c r="F21" s="32" t="n">
        <f aca="false">Debt_Schedule!F22+Assumptions!$C$48*Debt_Schedule!F25</f>
        <v>233.55</v>
      </c>
      <c r="G21" s="32" t="n">
        <f aca="false">Debt_Schedule!G22+Assumptions!$C$48*Debt_Schedule!G25</f>
        <v>175.05</v>
      </c>
      <c r="H21" s="32" t="n">
        <f aca="false">Debt_Schedule!H22+Assumptions!$C$48*Debt_Schedule!H25</f>
        <v>116.55</v>
      </c>
    </row>
    <row r="22" customFormat="false" ht="15" hidden="false" customHeight="false" outlineLevel="0" collapsed="false">
      <c r="A22" s="9" t="s">
        <v>150</v>
      </c>
      <c r="D22" s="32" t="n">
        <f aca="false">D19-D9-D21</f>
        <v>1408.20224</v>
      </c>
      <c r="E22" s="32" t="n">
        <f aca="false">E19-E9-E21</f>
        <v>1946.9023648</v>
      </c>
      <c r="F22" s="32" t="n">
        <f aca="false">F19-F9-F21</f>
        <v>2177.27373146</v>
      </c>
      <c r="G22" s="32" t="n">
        <f aca="false">G19-G9-G21</f>
        <v>2353.901471633</v>
      </c>
      <c r="H22" s="32" t="n">
        <f aca="false">H19-H9-H21</f>
        <v>2487.68416768232</v>
      </c>
    </row>
    <row r="23" customFormat="false" ht="15" hidden="false" customHeight="false" outlineLevel="0" collapsed="false">
      <c r="A23" s="9" t="s">
        <v>308</v>
      </c>
      <c r="B23" s="2" t="s">
        <v>309</v>
      </c>
      <c r="D23" s="32" t="n">
        <f aca="false">MAX(0,D22*Assumptions!$C$5)</f>
        <v>281.640448</v>
      </c>
      <c r="E23" s="32" t="n">
        <f aca="false">MAX(0,E22*Assumptions!$C$5)</f>
        <v>389.38047296</v>
      </c>
      <c r="F23" s="32" t="n">
        <f aca="false">MAX(0,F22*Assumptions!$C$5)</f>
        <v>435.454746292</v>
      </c>
      <c r="G23" s="32" t="n">
        <f aca="false">MAX(0,G22*Assumptions!$C$5)</f>
        <v>470.7802943266</v>
      </c>
      <c r="H23" s="32" t="n">
        <f aca="false">MAX(0,H22*Assumptions!$C$5)</f>
        <v>497.536833536464</v>
      </c>
    </row>
    <row r="24" customFormat="false" ht="15" hidden="false" customHeight="false" outlineLevel="0" collapsed="false">
      <c r="A24" s="9" t="s">
        <v>153</v>
      </c>
      <c r="D24" s="32" t="n">
        <f aca="false">D22-D23</f>
        <v>1126.561792</v>
      </c>
      <c r="E24" s="32" t="n">
        <f aca="false">E22-E23</f>
        <v>1557.52189184</v>
      </c>
      <c r="F24" s="32" t="n">
        <f aca="false">F22-F23</f>
        <v>1741.818985168</v>
      </c>
      <c r="G24" s="32" t="n">
        <f aca="false">G22-G23</f>
        <v>1883.1211773064</v>
      </c>
      <c r="H24" s="32" t="n">
        <f aca="false">H22-H23</f>
        <v>1990.14733414586</v>
      </c>
    </row>
    <row r="25" customFormat="false" ht="15" hidden="false" customHeight="false" outlineLevel="0" collapsed="false">
      <c r="A25" s="9" t="s">
        <v>310</v>
      </c>
      <c r="B25" s="2" t="s">
        <v>311</v>
      </c>
      <c r="D25" s="32" t="n">
        <f aca="false">Assumptions!$C$9*D15</f>
        <v>217.9784</v>
      </c>
      <c r="E25" s="32" t="n">
        <f aca="false">Assumptions!$C$9*E15</f>
        <v>244.135808</v>
      </c>
      <c r="F25" s="32" t="n">
        <f aca="false">Assumptions!$C$9*F15</f>
        <v>258.6313716</v>
      </c>
      <c r="G25" s="32" t="n">
        <f aca="false">Assumptions!$C$9*G15</f>
        <v>271.56294018</v>
      </c>
      <c r="H25" s="32" t="n">
        <f aca="false">Assumptions!$C$9*H15</f>
        <v>282.4254577872</v>
      </c>
    </row>
    <row r="26" customFormat="false" ht="15" hidden="false" customHeight="false" outlineLevel="0" collapsed="false">
      <c r="A26" s="9" t="s">
        <v>312</v>
      </c>
      <c r="B26" s="2" t="s">
        <v>313</v>
      </c>
      <c r="D26" s="32" t="n">
        <f aca="false">MAX(0,Assumptions!$C$8*(D15-$C$7))</f>
        <v>323.7084</v>
      </c>
      <c r="E26" s="32" t="n">
        <f aca="false">MAX(0,Assumptions!$C$8*(E15-D15))</f>
        <v>353.125008</v>
      </c>
      <c r="F26" s="32" t="n">
        <f aca="false">MAX(0,Assumptions!$C$8*(F15-E15))</f>
        <v>195.690108599999</v>
      </c>
      <c r="G26" s="32" t="n">
        <f aca="false">MAX(0,Assumptions!$C$8*(G15-F15))</f>
        <v>174.57617583</v>
      </c>
      <c r="H26" s="32" t="n">
        <f aca="false">MAX(0,Assumptions!$C$8*(H15-G15))</f>
        <v>146.6439876972</v>
      </c>
    </row>
    <row r="27" customFormat="false" ht="15" hidden="false" customHeight="false" outlineLevel="0" collapsed="false">
      <c r="A27" s="28" t="s">
        <v>314</v>
      </c>
      <c r="B27" s="39" t="s">
        <v>315</v>
      </c>
      <c r="C27" s="29"/>
      <c r="D27" s="30" t="n">
        <f aca="false">D19-D23-D25-D26</f>
        <v>1616.924992</v>
      </c>
      <c r="E27" s="30" t="n">
        <f aca="false">E19-E23-E25-E26</f>
        <v>1972.31107584</v>
      </c>
      <c r="F27" s="30" t="n">
        <f aca="false">F19-F23-F25-F26</f>
        <v>2221.047504968</v>
      </c>
      <c r="G27" s="30" t="n">
        <f aca="false">G19-G23-G25-G26</f>
        <v>2312.0320612964</v>
      </c>
      <c r="H27" s="30" t="n">
        <f aca="false">H19-H23-H25-H26</f>
        <v>2377.62788866146</v>
      </c>
      <c r="I27" s="29"/>
    </row>
    <row r="28" customFormat="false" ht="15" hidden="false" customHeight="false" outlineLevel="0" collapsed="false">
      <c r="A28" s="9" t="s">
        <v>316</v>
      </c>
      <c r="D28" s="14" t="n">
        <f aca="false">Debt_Schedule!D23</f>
        <v>200</v>
      </c>
      <c r="E28" s="14" t="n">
        <f aca="false">Debt_Schedule!E23</f>
        <v>800</v>
      </c>
      <c r="F28" s="14" t="n">
        <f aca="false">Debt_Schedule!F23</f>
        <v>600</v>
      </c>
      <c r="G28" s="14" t="n">
        <f aca="false">Debt_Schedule!G23</f>
        <v>600</v>
      </c>
      <c r="H28" s="14" t="n">
        <f aca="false">Debt_Schedule!H23</f>
        <v>600</v>
      </c>
    </row>
    <row r="29" customFormat="false" ht="15" hidden="false" customHeight="false" outlineLevel="0" collapsed="false">
      <c r="A29" s="6" t="s">
        <v>317</v>
      </c>
      <c r="B29" s="2" t="s">
        <v>318</v>
      </c>
      <c r="D29" s="31" t="n">
        <f aca="false">D21+D28</f>
        <v>532.05</v>
      </c>
      <c r="E29" s="31" t="n">
        <f aca="false">E21+E28</f>
        <v>1112.05</v>
      </c>
      <c r="F29" s="31" t="n">
        <f aca="false">F21+F28</f>
        <v>833.55</v>
      </c>
      <c r="G29" s="31" t="n">
        <f aca="false">G21+G28</f>
        <v>775.05</v>
      </c>
      <c r="H29" s="31" t="n">
        <f aca="false">H21+H28</f>
        <v>716.55</v>
      </c>
    </row>
    <row r="30" customFormat="false" ht="15" hidden="false" customHeight="false" outlineLevel="0" collapsed="false">
      <c r="A30" s="6" t="s">
        <v>319</v>
      </c>
      <c r="B30" s="2" t="s">
        <v>320</v>
      </c>
      <c r="D30" s="40" t="n">
        <f aca="false">D27/D29</f>
        <v>3.03904706700498</v>
      </c>
      <c r="E30" s="40" t="n">
        <f aca="false">E27/E29</f>
        <v>1.77358129206421</v>
      </c>
      <c r="F30" s="40" t="n">
        <f aca="false">F27/F29</f>
        <v>2.66456421926459</v>
      </c>
      <c r="G30" s="40" t="n">
        <f aca="false">G27/G29</f>
        <v>2.98307471943281</v>
      </c>
      <c r="H30" s="40" t="n">
        <f aca="false">H27/H29</f>
        <v>3.31816047541896</v>
      </c>
      <c r="I30" s="40" t="n">
        <f aca="false">MIN(D30:H30)</f>
        <v>1.77358129206421</v>
      </c>
    </row>
    <row r="31" customFormat="false" ht="15" hidden="false" customHeight="false" outlineLevel="0" collapsed="false">
      <c r="A31" s="9" t="s">
        <v>321</v>
      </c>
      <c r="B31" s="2" t="s">
        <v>322</v>
      </c>
      <c r="D31" s="33" t="n">
        <f aca="false">1-1/D30</f>
        <v>0.670949485825005</v>
      </c>
      <c r="E31" s="33" t="n">
        <f aca="false">1-1/E30</f>
        <v>0.436169063986835</v>
      </c>
      <c r="F31" s="33" t="n">
        <f aca="false">1-1/F30</f>
        <v>0.624704110049186</v>
      </c>
      <c r="G31" s="33" t="n">
        <f aca="false">1-1/G30</f>
        <v>0.664775409919958</v>
      </c>
      <c r="H31" s="33" t="n">
        <f aca="false">1-1/H30</f>
        <v>0.698628198543129</v>
      </c>
    </row>
    <row r="32" customFormat="false" ht="15" hidden="false" customHeight="false" outlineLevel="0" collapsed="false">
      <c r="A32" s="9" t="s">
        <v>232</v>
      </c>
      <c r="B32" s="2" t="s">
        <v>323</v>
      </c>
      <c r="D32" s="35" t="n">
        <f aca="false">Debt_Schedule!D26/D19</f>
        <v>1.32363365846147</v>
      </c>
      <c r="E32" s="35" t="n">
        <f aca="false">Debt_Schedule!E26/E19</f>
        <v>0.821236606884088</v>
      </c>
      <c r="F32" s="35" t="n">
        <f aca="false">Debt_Schedule!F26/F19</f>
        <v>0.588268625281809</v>
      </c>
      <c r="G32" s="35" t="n">
        <f aca="false">Debt_Schedule!G26/G19</f>
        <v>0.380928611286296</v>
      </c>
      <c r="H32" s="35" t="n">
        <f aca="false">Debt_Schedule!H26/H19</f>
        <v>0.190664452950046</v>
      </c>
      <c r="I32" s="22" t="n">
        <f aca="false">MAX(D32:H32)</f>
        <v>1.32363365846147</v>
      </c>
    </row>
    <row r="33" customFormat="false" ht="15" hidden="false" customHeight="false" outlineLevel="0" collapsed="false">
      <c r="A33" s="9" t="s">
        <v>324</v>
      </c>
      <c r="D33" s="32" t="n">
        <f aca="false">0+D27-D29</f>
        <v>1084.874992</v>
      </c>
      <c r="E33" s="32" t="n">
        <f aca="false">D33+E27-E29</f>
        <v>1945.13606784</v>
      </c>
      <c r="F33" s="32" t="n">
        <f aca="false">E33+F27-F29</f>
        <v>3332.633572808</v>
      </c>
      <c r="G33" s="32" t="n">
        <f aca="false">F33+G27-G29</f>
        <v>4869.6156341044</v>
      </c>
      <c r="H33" s="32" t="n">
        <f aca="false">G33+H27-H29</f>
        <v>6530.69352276586</v>
      </c>
    </row>
    <row r="34" customFormat="false" ht="15" hidden="false" customHeight="false" outlineLevel="0" collapsed="false">
      <c r="A34" s="9" t="s">
        <v>325</v>
      </c>
      <c r="D34" s="41" t="str">
        <f aca="false">IF(D30&gt;=Assumptions!$C$51,"PASS","BREACH")</f>
        <v>PASS</v>
      </c>
      <c r="E34" s="41" t="str">
        <f aca="false">IF(E30&gt;=Assumptions!$C$51,"PASS","BREACH")</f>
        <v>PASS</v>
      </c>
      <c r="F34" s="41" t="str">
        <f aca="false">IF(F30&gt;=Assumptions!$C$51,"PASS","BREACH")</f>
        <v>PASS</v>
      </c>
      <c r="G34" s="41" t="str">
        <f aca="false">IF(G30&gt;=Assumptions!$C$51,"PASS","BREACH")</f>
        <v>PASS</v>
      </c>
      <c r="H34" s="41" t="str">
        <f aca="false">IF(H30&gt;=Assumptions!$C$51,"PASS","BREACH")</f>
        <v>PASS</v>
      </c>
    </row>
    <row r="35" customFormat="false" ht="15" hidden="false" customHeight="false" outlineLevel="0" collapsed="false">
      <c r="A35" s="9" t="s">
        <v>326</v>
      </c>
      <c r="D35" s="41" t="str">
        <f aca="false">IF(D32&lt;=Assumptions!$C$52,"PASS","BREACH")</f>
        <v>PASS</v>
      </c>
      <c r="E35" s="41" t="str">
        <f aca="false">IF(E32&lt;=Assumptions!$C$52,"PASS","BREACH")</f>
        <v>PASS</v>
      </c>
      <c r="F35" s="41" t="str">
        <f aca="false">IF(F32&lt;=Assumptions!$C$52,"PASS","BREACH")</f>
        <v>PASS</v>
      </c>
      <c r="G35" s="41" t="str">
        <f aca="false">IF(G32&lt;=Assumptions!$C$52,"PASS","BREACH")</f>
        <v>PASS</v>
      </c>
      <c r="H35" s="41" t="str">
        <f aca="false">IF(H32&lt;=Assumptions!$C$52,"PASS","BREACH")</f>
        <v>PASS</v>
      </c>
    </row>
    <row r="37" customFormat="false" ht="15" hidden="false" customHeight="false" outlineLevel="0" collapsed="false">
      <c r="A37" s="12" t="s">
        <v>327</v>
      </c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9" t="s">
        <v>295</v>
      </c>
      <c r="B38" s="2" t="s">
        <v>296</v>
      </c>
      <c r="D38" s="38" t="n">
        <f aca="false">(1+Assumptions!$D$45*Assumptions!$D$44)/(1+Assumptions!$D$44)</f>
        <v>1</v>
      </c>
      <c r="E38" s="38" t="n">
        <f aca="false">(1+Assumptions!$D$45*Assumptions!$D$44)/(1+Assumptions!$D$44)</f>
        <v>1</v>
      </c>
      <c r="F38" s="38" t="n">
        <f aca="false">(1+Assumptions!$D$45*Assumptions!$D$44)/(1+Assumptions!$D$44)</f>
        <v>1</v>
      </c>
      <c r="G38" s="38" t="n">
        <f aca="false">(1+Assumptions!$D$45*Assumptions!$D$44)/(1+Assumptions!$D$44)</f>
        <v>1</v>
      </c>
      <c r="H38" s="38" t="n">
        <f aca="false">(1+Assumptions!$D$45*Assumptions!$D$44)/(1+Assumptions!$D$44)</f>
        <v>1</v>
      </c>
    </row>
    <row r="39" customFormat="false" ht="15" hidden="false" customHeight="false" outlineLevel="0" collapsed="false">
      <c r="A39" s="9" t="s">
        <v>297</v>
      </c>
      <c r="B39" s="2" t="s">
        <v>298</v>
      </c>
      <c r="D39" s="32" t="n">
        <f aca="false">D7*(1+Assumptions!$D$43)</f>
        <v>9809.028</v>
      </c>
      <c r="E39" s="32" t="n">
        <f aca="false">E7*(1+Assumptions!$D$43)</f>
        <v>10986.11136</v>
      </c>
      <c r="F39" s="32" t="n">
        <f aca="false">F7*(1+Assumptions!$D$43)</f>
        <v>11638.411722</v>
      </c>
      <c r="G39" s="32" t="n">
        <f aca="false">G7*(1+Assumptions!$D$43)</f>
        <v>12220.3323081</v>
      </c>
      <c r="H39" s="32" t="n">
        <f aca="false">H7*(1+Assumptions!$D$43)</f>
        <v>12709.145600424</v>
      </c>
    </row>
    <row r="40" customFormat="false" ht="15" hidden="false" customHeight="false" outlineLevel="0" collapsed="false">
      <c r="A40" s="6" t="s">
        <v>299</v>
      </c>
      <c r="B40" s="2" t="s">
        <v>300</v>
      </c>
      <c r="D40" s="31" t="n">
        <f aca="false">D39*(Assumptions!$C$6+(1-Assumptions!$C$6)*D38)</f>
        <v>9809.028</v>
      </c>
      <c r="E40" s="31" t="n">
        <f aca="false">E39*(Assumptions!$C$6+(1-Assumptions!$C$6)*E38)</f>
        <v>10986.11136</v>
      </c>
      <c r="F40" s="31" t="n">
        <f aca="false">F39*(Assumptions!$C$6+(1-Assumptions!$C$6)*F38)</f>
        <v>11638.411722</v>
      </c>
      <c r="G40" s="31" t="n">
        <f aca="false">G39*(Assumptions!$C$6+(1-Assumptions!$C$6)*G38)</f>
        <v>12220.3323081</v>
      </c>
      <c r="H40" s="31" t="n">
        <f aca="false">H39*(Assumptions!$C$6+(1-Assumptions!$C$6)*H38)</f>
        <v>12709.145600424</v>
      </c>
    </row>
    <row r="41" customFormat="false" ht="15" hidden="false" customHeight="false" outlineLevel="0" collapsed="false">
      <c r="A41" s="9" t="s">
        <v>301</v>
      </c>
      <c r="B41" s="2" t="s">
        <v>302</v>
      </c>
      <c r="D41" s="32" t="n">
        <f aca="false">-D39*(Assumptions!D34+Assumptions!$D$46)</f>
        <v>-6130.6425</v>
      </c>
      <c r="E41" s="32" t="n">
        <f aca="false">-E39*(Assumptions!E34+Assumptions!$D$46)</f>
        <v>-6866.3196</v>
      </c>
      <c r="F41" s="32" t="n">
        <f aca="false">-F39*(Assumptions!F34+Assumptions!$D$46)</f>
        <v>-7274.00732625</v>
      </c>
      <c r="G41" s="32" t="n">
        <f aca="false">-G39*(Assumptions!G34+Assumptions!$D$46)</f>
        <v>-7637.7076925625</v>
      </c>
      <c r="H41" s="32" t="n">
        <f aca="false">-H39*(Assumptions!H34+Assumptions!$D$46)</f>
        <v>-7943.216000265</v>
      </c>
    </row>
    <row r="42" customFormat="false" ht="15" hidden="false" customHeight="false" outlineLevel="0" collapsed="false">
      <c r="A42" s="9" t="s">
        <v>303</v>
      </c>
      <c r="D42" s="32" t="n">
        <f aca="false">-D39*(Assumptions!D35+Assumptions!$D$47)</f>
        <v>-765.104184</v>
      </c>
      <c r="E42" s="32" t="n">
        <f aca="false">-E39*(Assumptions!E35+Assumptions!$D$47)</f>
        <v>-692.12501568</v>
      </c>
      <c r="F42" s="32" t="n">
        <f aca="false">-F39*(Assumptions!F35+Assumptions!$D$47)</f>
        <v>-733.219938486</v>
      </c>
      <c r="G42" s="32" t="n">
        <f aca="false">-G39*(Assumptions!G35+Assumptions!$D$47)</f>
        <v>-769.8809354103</v>
      </c>
      <c r="H42" s="32" t="n">
        <f aca="false">-H39*(Assumptions!H35+Assumptions!$D$47)</f>
        <v>-800.676172826712</v>
      </c>
    </row>
    <row r="43" customFormat="false" ht="15" hidden="false" customHeight="false" outlineLevel="0" collapsed="false">
      <c r="A43" s="9" t="s">
        <v>304</v>
      </c>
      <c r="B43" s="2" t="s">
        <v>305</v>
      </c>
      <c r="D43" s="32" t="n">
        <f aca="false">-D8*((1-Assumptions!$C$7)+Assumptions!$C$7*D38)</f>
        <v>-1069.2</v>
      </c>
      <c r="E43" s="32" t="n">
        <f aca="false">-E8*((1-Assumptions!$C$7)+Assumptions!$C$7*E38)</f>
        <v>-1154.736</v>
      </c>
      <c r="F43" s="32" t="n">
        <f aca="false">-F8*((1-Assumptions!$C$7)+Assumptions!$C$7*F38)</f>
        <v>-1247.11488</v>
      </c>
      <c r="G43" s="32" t="n">
        <f aca="false">-G8*((1-Assumptions!$C$7)+Assumptions!$C$7*G38)</f>
        <v>-1346.8840704</v>
      </c>
      <c r="H43" s="32" t="n">
        <f aca="false">-H8*((1-Assumptions!$C$7)+Assumptions!$C$7*H38)</f>
        <v>-1454.634796032</v>
      </c>
    </row>
    <row r="44" customFormat="false" ht="15" hidden="false" customHeight="false" outlineLevel="0" collapsed="false">
      <c r="A44" s="28" t="s">
        <v>61</v>
      </c>
      <c r="B44" s="29"/>
      <c r="C44" s="29"/>
      <c r="D44" s="30" t="n">
        <f aca="false">SUM(D40:D43)</f>
        <v>1844.081316</v>
      </c>
      <c r="E44" s="30" t="n">
        <f aca="false">SUM(E40:E43)</f>
        <v>2272.93074432</v>
      </c>
      <c r="F44" s="30" t="n">
        <f aca="false">SUM(F40:F43)</f>
        <v>2384.069577264</v>
      </c>
      <c r="G44" s="30" t="n">
        <f aca="false">SUM(G40:G43)</f>
        <v>2465.8596097272</v>
      </c>
      <c r="H44" s="30" t="n">
        <f aca="false">SUM(H40:H43)</f>
        <v>2510.61863130029</v>
      </c>
      <c r="I44" s="30" t="n">
        <f aca="false">MIN(D44:H44)</f>
        <v>1844.081316</v>
      </c>
    </row>
    <row r="45" customFormat="false" ht="15" hidden="false" customHeight="false" outlineLevel="0" collapsed="false">
      <c r="A45" s="9" t="s">
        <v>157</v>
      </c>
      <c r="D45" s="33" t="n">
        <f aca="false">D44/D40</f>
        <v>0.187998374150833</v>
      </c>
      <c r="E45" s="33" t="n">
        <f aca="false">E44/E40</f>
        <v>0.206891289359732</v>
      </c>
      <c r="F45" s="33" t="n">
        <f aca="false">F44/F40</f>
        <v>0.20484492508178</v>
      </c>
      <c r="G45" s="33" t="n">
        <f aca="false">G44/G40</f>
        <v>0.201783351512688</v>
      </c>
      <c r="H45" s="33" t="n">
        <f aca="false">H44/H40</f>
        <v>0.197544249647791</v>
      </c>
    </row>
    <row r="46" customFormat="false" ht="15" hidden="false" customHeight="false" outlineLevel="0" collapsed="false">
      <c r="A46" s="9" t="s">
        <v>306</v>
      </c>
      <c r="B46" s="2" t="s">
        <v>307</v>
      </c>
      <c r="D46" s="32" t="n">
        <f aca="false">Debt_Schedule!D22+Assumptions!$D$48*Debt_Schedule!D25</f>
        <v>400.65</v>
      </c>
      <c r="E46" s="32" t="n">
        <f aca="false">Debt_Schedule!E22+Assumptions!$D$48*Debt_Schedule!E25</f>
        <v>376.65</v>
      </c>
      <c r="F46" s="32" t="n">
        <f aca="false">Debt_Schedule!F22+Assumptions!$D$48*Debt_Schedule!F25</f>
        <v>282.15</v>
      </c>
      <c r="G46" s="32" t="n">
        <f aca="false">Debt_Schedule!G22+Assumptions!$D$48*Debt_Schedule!G25</f>
        <v>211.65</v>
      </c>
      <c r="H46" s="32" t="n">
        <f aca="false">Debt_Schedule!H22+Assumptions!$D$48*Debt_Schedule!H25</f>
        <v>141.15</v>
      </c>
    </row>
    <row r="47" customFormat="false" ht="15" hidden="false" customHeight="false" outlineLevel="0" collapsed="false">
      <c r="A47" s="9" t="s">
        <v>150</v>
      </c>
      <c r="D47" s="32" t="n">
        <f aca="false">D44-D9-D46</f>
        <v>743.431316</v>
      </c>
      <c r="E47" s="32" t="n">
        <f aca="false">E44-E9-E46</f>
        <v>1196.28074432</v>
      </c>
      <c r="F47" s="32" t="n">
        <f aca="false">F44-F9-F46</f>
        <v>1401.919577264</v>
      </c>
      <c r="G47" s="32" t="n">
        <f aca="false">G44-G9-G46</f>
        <v>1554.2096097272</v>
      </c>
      <c r="H47" s="32" t="n">
        <f aca="false">H44-H9-H46</f>
        <v>1669.46863130029</v>
      </c>
    </row>
    <row r="48" customFormat="false" ht="15" hidden="false" customHeight="false" outlineLevel="0" collapsed="false">
      <c r="A48" s="9" t="s">
        <v>308</v>
      </c>
      <c r="B48" s="2" t="s">
        <v>309</v>
      </c>
      <c r="D48" s="32" t="n">
        <f aca="false">MAX(0,D47*Assumptions!$C$5)</f>
        <v>148.6862632</v>
      </c>
      <c r="E48" s="32" t="n">
        <f aca="false">MAX(0,E47*Assumptions!$C$5)</f>
        <v>239.256148864</v>
      </c>
      <c r="F48" s="32" t="n">
        <f aca="false">MAX(0,F47*Assumptions!$C$5)</f>
        <v>280.3839154528</v>
      </c>
      <c r="G48" s="32" t="n">
        <f aca="false">MAX(0,G47*Assumptions!$C$5)</f>
        <v>310.84192194544</v>
      </c>
      <c r="H48" s="32" t="n">
        <f aca="false">MAX(0,H47*Assumptions!$C$5)</f>
        <v>333.893726260058</v>
      </c>
    </row>
    <row r="49" customFormat="false" ht="15" hidden="false" customHeight="false" outlineLevel="0" collapsed="false">
      <c r="A49" s="9" t="s">
        <v>153</v>
      </c>
      <c r="D49" s="32" t="n">
        <f aca="false">D47-D48</f>
        <v>594.7450528</v>
      </c>
      <c r="E49" s="32" t="n">
        <f aca="false">E47-E48</f>
        <v>957.024595456</v>
      </c>
      <c r="F49" s="32" t="n">
        <f aca="false">F47-F48</f>
        <v>1121.5356618112</v>
      </c>
      <c r="G49" s="32" t="n">
        <f aca="false">G47-G48</f>
        <v>1243.36768778176</v>
      </c>
      <c r="H49" s="32" t="n">
        <f aca="false">H47-H48</f>
        <v>1335.57490504023</v>
      </c>
    </row>
    <row r="50" customFormat="false" ht="15" hidden="false" customHeight="false" outlineLevel="0" collapsed="false">
      <c r="A50" s="9" t="s">
        <v>310</v>
      </c>
      <c r="B50" s="2" t="s">
        <v>311</v>
      </c>
      <c r="D50" s="32" t="n">
        <f aca="false">Assumptions!$C$9*D40</f>
        <v>196.18056</v>
      </c>
      <c r="E50" s="32" t="n">
        <f aca="false">Assumptions!$C$9*E40</f>
        <v>219.7222272</v>
      </c>
      <c r="F50" s="32" t="n">
        <f aca="false">Assumptions!$C$9*F40</f>
        <v>232.76823444</v>
      </c>
      <c r="G50" s="32" t="n">
        <f aca="false">Assumptions!$C$9*G40</f>
        <v>244.406646162</v>
      </c>
      <c r="H50" s="32" t="n">
        <f aca="false">Assumptions!$C$9*H40</f>
        <v>254.18291200848</v>
      </c>
    </row>
    <row r="51" customFormat="false" ht="15" hidden="false" customHeight="false" outlineLevel="0" collapsed="false">
      <c r="A51" s="9" t="s">
        <v>312</v>
      </c>
      <c r="B51" s="2" t="s">
        <v>313</v>
      </c>
      <c r="D51" s="32" t="n">
        <f aca="false">MAX(0,Assumptions!$C$8*(D40-$C$7))</f>
        <v>29.4375600000001</v>
      </c>
      <c r="E51" s="32" t="n">
        <f aca="false">MAX(0,Assumptions!$C$8*(E40-D40))</f>
        <v>317.812507200001</v>
      </c>
      <c r="F51" s="32" t="n">
        <f aca="false">MAX(0,Assumptions!$C$8*(F40-E40))</f>
        <v>176.121097739999</v>
      </c>
      <c r="G51" s="32" t="n">
        <f aca="false">MAX(0,Assumptions!$C$8*(G40-F40))</f>
        <v>157.118558247</v>
      </c>
      <c r="H51" s="32" t="n">
        <f aca="false">MAX(0,Assumptions!$C$8*(H40-G40))</f>
        <v>131.97958892748</v>
      </c>
    </row>
    <row r="52" customFormat="false" ht="15" hidden="false" customHeight="false" outlineLevel="0" collapsed="false">
      <c r="A52" s="28" t="s">
        <v>314</v>
      </c>
      <c r="B52" s="39" t="s">
        <v>315</v>
      </c>
      <c r="C52" s="29"/>
      <c r="D52" s="30" t="n">
        <f aca="false">D44-D48-D50-D51</f>
        <v>1469.7769328</v>
      </c>
      <c r="E52" s="30" t="n">
        <f aca="false">E44-E48-E50-E51</f>
        <v>1496.139861056</v>
      </c>
      <c r="F52" s="30" t="n">
        <f aca="false">F44-F48-F50-F51</f>
        <v>1694.7963296312</v>
      </c>
      <c r="G52" s="30" t="n">
        <f aca="false">G44-G48-G50-G51</f>
        <v>1753.49248337276</v>
      </c>
      <c r="H52" s="30" t="n">
        <f aca="false">H44-H48-H50-H51</f>
        <v>1790.56240410427</v>
      </c>
      <c r="I52" s="29"/>
    </row>
    <row r="53" customFormat="false" ht="15" hidden="false" customHeight="false" outlineLevel="0" collapsed="false">
      <c r="A53" s="9" t="s">
        <v>316</v>
      </c>
      <c r="D53" s="14" t="n">
        <f aca="false">Debt_Schedule!D23</f>
        <v>200</v>
      </c>
      <c r="E53" s="14" t="n">
        <f aca="false">Debt_Schedule!E23</f>
        <v>800</v>
      </c>
      <c r="F53" s="14" t="n">
        <f aca="false">Debt_Schedule!F23</f>
        <v>600</v>
      </c>
      <c r="G53" s="14" t="n">
        <f aca="false">Debt_Schedule!G23</f>
        <v>600</v>
      </c>
      <c r="H53" s="14" t="n">
        <f aca="false">Debt_Schedule!H23</f>
        <v>600</v>
      </c>
    </row>
    <row r="54" customFormat="false" ht="15" hidden="false" customHeight="false" outlineLevel="0" collapsed="false">
      <c r="A54" s="6" t="s">
        <v>317</v>
      </c>
      <c r="B54" s="2" t="s">
        <v>318</v>
      </c>
      <c r="D54" s="31" t="n">
        <f aca="false">D46+D53</f>
        <v>600.65</v>
      </c>
      <c r="E54" s="31" t="n">
        <f aca="false">E46+E53</f>
        <v>1176.65</v>
      </c>
      <c r="F54" s="31" t="n">
        <f aca="false">F46+F53</f>
        <v>882.15</v>
      </c>
      <c r="G54" s="31" t="n">
        <f aca="false">G46+G53</f>
        <v>811.65</v>
      </c>
      <c r="H54" s="31" t="n">
        <f aca="false">H46+H53</f>
        <v>741.15</v>
      </c>
    </row>
    <row r="55" customFormat="false" ht="15" hidden="false" customHeight="false" outlineLevel="0" collapsed="false">
      <c r="A55" s="6" t="s">
        <v>319</v>
      </c>
      <c r="B55" s="2" t="s">
        <v>320</v>
      </c>
      <c r="D55" s="40" t="n">
        <f aca="false">D52/D54</f>
        <v>2.44697732922667</v>
      </c>
      <c r="E55" s="40" t="n">
        <f aca="false">E52/E54</f>
        <v>1.27152497433901</v>
      </c>
      <c r="F55" s="40" t="n">
        <f aca="false">F52/F54</f>
        <v>1.92121105212402</v>
      </c>
      <c r="G55" s="40" t="n">
        <f aca="false">G52/G54</f>
        <v>2.16040471061758</v>
      </c>
      <c r="H55" s="40" t="n">
        <f aca="false">H52/H54</f>
        <v>2.41592444728364</v>
      </c>
      <c r="I55" s="40" t="n">
        <f aca="false">MIN(D55:H55)</f>
        <v>1.27152497433901</v>
      </c>
    </row>
    <row r="56" customFormat="false" ht="15" hidden="false" customHeight="false" outlineLevel="0" collapsed="false">
      <c r="A56" s="9" t="s">
        <v>321</v>
      </c>
      <c r="B56" s="2" t="s">
        <v>322</v>
      </c>
      <c r="D56" s="33" t="n">
        <f aca="false">1-1/D55</f>
        <v>0.59133254401011</v>
      </c>
      <c r="E56" s="33" t="n">
        <f aca="false">1-1/E55</f>
        <v>0.213542777231066</v>
      </c>
      <c r="F56" s="33" t="n">
        <f aca="false">1-1/F55</f>
        <v>0.479494978495757</v>
      </c>
      <c r="G56" s="33" t="n">
        <f aca="false">1-1/G55</f>
        <v>0.537123764318151</v>
      </c>
      <c r="H56" s="33" t="n">
        <f aca="false">1-1/H55</f>
        <v>0.586079771193029</v>
      </c>
    </row>
    <row r="57" customFormat="false" ht="15" hidden="false" customHeight="false" outlineLevel="0" collapsed="false">
      <c r="A57" s="9" t="s">
        <v>232</v>
      </c>
      <c r="B57" s="2" t="s">
        <v>323</v>
      </c>
      <c r="D57" s="35" t="n">
        <f aca="false">Debt_Schedule!D26/D44</f>
        <v>1.75154965888717</v>
      </c>
      <c r="E57" s="35" t="n">
        <f aca="false">Debt_Schedule!E26/E44</f>
        <v>1.0691042857652</v>
      </c>
      <c r="F57" s="35" t="n">
        <f aca="false">Debt_Schedule!F26/F44</f>
        <v>0.76759504733085</v>
      </c>
      <c r="G57" s="35" t="n">
        <f aca="false">Debt_Schedule!G26/G44</f>
        <v>0.498811852527191</v>
      </c>
      <c r="H57" s="35" t="n">
        <f aca="false">Debt_Schedule!H26/H44</f>
        <v>0.250934169031365</v>
      </c>
      <c r="I57" s="22" t="n">
        <f aca="false">MAX(D57:H57)</f>
        <v>1.75154965888717</v>
      </c>
    </row>
    <row r="58" customFormat="false" ht="15" hidden="false" customHeight="false" outlineLevel="0" collapsed="false">
      <c r="A58" s="9" t="s">
        <v>324</v>
      </c>
      <c r="D58" s="32" t="n">
        <f aca="false">0+D52-D54</f>
        <v>869.1269328</v>
      </c>
      <c r="E58" s="32" t="n">
        <f aca="false">D58+E52-E54</f>
        <v>1188.616793856</v>
      </c>
      <c r="F58" s="32" t="n">
        <f aca="false">E58+F52-F54</f>
        <v>2001.2631234872</v>
      </c>
      <c r="G58" s="32" t="n">
        <f aca="false">F58+G52-G54</f>
        <v>2943.10560685996</v>
      </c>
      <c r="H58" s="32" t="n">
        <f aca="false">G58+H52-H54</f>
        <v>3992.51801096423</v>
      </c>
    </row>
    <row r="59" customFormat="false" ht="15" hidden="false" customHeight="false" outlineLevel="0" collapsed="false">
      <c r="A59" s="9" t="s">
        <v>325</v>
      </c>
      <c r="D59" s="41" t="str">
        <f aca="false">IF(D55&gt;=Assumptions!$C$51,"PASS","BREACH")</f>
        <v>PASS</v>
      </c>
      <c r="E59" s="41" t="str">
        <f aca="false">IF(E55&gt;=Assumptions!$C$51,"PASS","BREACH")</f>
        <v>PASS</v>
      </c>
      <c r="F59" s="41" t="str">
        <f aca="false">IF(F55&gt;=Assumptions!$C$51,"PASS","BREACH")</f>
        <v>PASS</v>
      </c>
      <c r="G59" s="41" t="str">
        <f aca="false">IF(G55&gt;=Assumptions!$C$51,"PASS","BREACH")</f>
        <v>PASS</v>
      </c>
      <c r="H59" s="41" t="str">
        <f aca="false">IF(H55&gt;=Assumptions!$C$51,"PASS","BREACH")</f>
        <v>PASS</v>
      </c>
    </row>
    <row r="60" customFormat="false" ht="15" hidden="false" customHeight="false" outlineLevel="0" collapsed="false">
      <c r="A60" s="9" t="s">
        <v>326</v>
      </c>
      <c r="D60" s="41" t="str">
        <f aca="false">IF(D57&lt;=Assumptions!$C$52,"PASS","BREACH")</f>
        <v>PASS</v>
      </c>
      <c r="E60" s="41" t="str">
        <f aca="false">IF(E57&lt;=Assumptions!$C$52,"PASS","BREACH")</f>
        <v>PASS</v>
      </c>
      <c r="F60" s="41" t="str">
        <f aca="false">IF(F57&lt;=Assumptions!$C$52,"PASS","BREACH")</f>
        <v>PASS</v>
      </c>
      <c r="G60" s="41" t="str">
        <f aca="false">IF(G57&lt;=Assumptions!$C$52,"PASS","BREACH")</f>
        <v>PASS</v>
      </c>
      <c r="H60" s="41" t="str">
        <f aca="false">IF(H57&lt;=Assumptions!$C$52,"PASS","BREACH")</f>
        <v>PASS</v>
      </c>
    </row>
    <row r="62" customFormat="false" ht="15" hidden="false" customHeight="false" outlineLevel="0" collapsed="false">
      <c r="A62" s="12" t="s">
        <v>328</v>
      </c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9" t="s">
        <v>295</v>
      </c>
      <c r="B63" s="2" t="s">
        <v>296</v>
      </c>
      <c r="D63" s="38" t="n">
        <f aca="false">(1+Assumptions!$E$45*Assumptions!$E$44)/(1+Assumptions!$E$44)</f>
        <v>0.833333333333333</v>
      </c>
      <c r="E63" s="38" t="n">
        <f aca="false">(1+Assumptions!$E$45*Assumptions!$E$44)/(1+Assumptions!$E$44)</f>
        <v>0.833333333333333</v>
      </c>
      <c r="F63" s="38" t="n">
        <f aca="false">(1+Assumptions!$E$45*Assumptions!$E$44)/(1+Assumptions!$E$44)</f>
        <v>0.833333333333333</v>
      </c>
      <c r="G63" s="38" t="n">
        <f aca="false">(1+Assumptions!$E$45*Assumptions!$E$44)/(1+Assumptions!$E$44)</f>
        <v>0.833333333333333</v>
      </c>
      <c r="H63" s="38" t="n">
        <f aca="false">(1+Assumptions!$E$45*Assumptions!$E$44)/(1+Assumptions!$E$44)</f>
        <v>0.833333333333333</v>
      </c>
    </row>
    <row r="64" customFormat="false" ht="15" hidden="false" customHeight="false" outlineLevel="0" collapsed="false">
      <c r="A64" s="9" t="s">
        <v>297</v>
      </c>
      <c r="B64" s="2" t="s">
        <v>298</v>
      </c>
      <c r="D64" s="32" t="n">
        <f aca="false">D7*(1+Assumptions!$E$43)</f>
        <v>10898.92</v>
      </c>
      <c r="E64" s="32" t="n">
        <f aca="false">E7*(1+Assumptions!$E$43)</f>
        <v>12206.7904</v>
      </c>
      <c r="F64" s="32" t="n">
        <f aca="false">F7*(1+Assumptions!$E$43)</f>
        <v>12931.56858</v>
      </c>
      <c r="G64" s="32" t="n">
        <f aca="false">G7*(1+Assumptions!$E$43)</f>
        <v>13578.147009</v>
      </c>
      <c r="H64" s="32" t="n">
        <f aca="false">H7*(1+Assumptions!$E$43)</f>
        <v>14121.27288936</v>
      </c>
    </row>
    <row r="65" customFormat="false" ht="15" hidden="false" customHeight="false" outlineLevel="0" collapsed="false">
      <c r="A65" s="6" t="s">
        <v>299</v>
      </c>
      <c r="B65" s="2" t="s">
        <v>300</v>
      </c>
      <c r="D65" s="31" t="n">
        <f aca="false">D64*(Assumptions!$C$6+(1-Assumptions!$C$6)*D63)</f>
        <v>10135.9956</v>
      </c>
      <c r="E65" s="31" t="n">
        <f aca="false">E64*(Assumptions!$C$6+(1-Assumptions!$C$6)*E63)</f>
        <v>11352.315072</v>
      </c>
      <c r="F65" s="31" t="n">
        <f aca="false">F64*(Assumptions!$C$6+(1-Assumptions!$C$6)*F63)</f>
        <v>12026.3587794</v>
      </c>
      <c r="G65" s="31" t="n">
        <f aca="false">G64*(Assumptions!$C$6+(1-Assumptions!$C$6)*G63)</f>
        <v>12627.67671837</v>
      </c>
      <c r="H65" s="31" t="n">
        <f aca="false">H64*(Assumptions!$C$6+(1-Assumptions!$C$6)*H63)</f>
        <v>13132.7837871048</v>
      </c>
    </row>
    <row r="66" customFormat="false" ht="15" hidden="false" customHeight="false" outlineLevel="0" collapsed="false">
      <c r="A66" s="9" t="s">
        <v>301</v>
      </c>
      <c r="B66" s="2" t="s">
        <v>302</v>
      </c>
      <c r="D66" s="32" t="n">
        <f aca="false">-D64*(Assumptions!D34+Assumptions!$E$46)</f>
        <v>-6648.3412</v>
      </c>
      <c r="E66" s="32" t="n">
        <f aca="false">-E64*(Assumptions!E34+Assumptions!$E$46)</f>
        <v>-7446.142144</v>
      </c>
      <c r="F66" s="32" t="n">
        <f aca="false">-F64*(Assumptions!F34+Assumptions!$E$46)</f>
        <v>-7888.2568338</v>
      </c>
      <c r="G66" s="32" t="n">
        <f aca="false">-G64*(Assumptions!G34+Assumptions!$E$46)</f>
        <v>-8282.66967549</v>
      </c>
      <c r="H66" s="32" t="n">
        <f aca="false">-H64*(Assumptions!H34+Assumptions!$E$46)</f>
        <v>-8613.9764625096</v>
      </c>
    </row>
    <row r="67" customFormat="false" ht="15" hidden="false" customHeight="false" outlineLevel="0" collapsed="false">
      <c r="A67" s="9" t="s">
        <v>303</v>
      </c>
      <c r="D67" s="32" t="n">
        <f aca="false">-D64*(Assumptions!D35+Assumptions!$E$47)</f>
        <v>-741.12656</v>
      </c>
      <c r="E67" s="32" t="n">
        <f aca="false">-E64*(Assumptions!E35+Assumptions!$E$47)</f>
        <v>-646.9598912</v>
      </c>
      <c r="F67" s="32" t="n">
        <f aca="false">-F64*(Assumptions!F35+Assumptions!$E$47)</f>
        <v>-685.37313474</v>
      </c>
      <c r="G67" s="32" t="n">
        <f aca="false">-G64*(Assumptions!G35+Assumptions!$E$47)</f>
        <v>-719.641791477</v>
      </c>
      <c r="H67" s="32" t="n">
        <f aca="false">-H64*(Assumptions!H35+Assumptions!$E$47)</f>
        <v>-748.42746313608</v>
      </c>
    </row>
    <row r="68" customFormat="false" ht="15" hidden="false" customHeight="false" outlineLevel="0" collapsed="false">
      <c r="A68" s="9" t="s">
        <v>304</v>
      </c>
      <c r="B68" s="2" t="s">
        <v>305</v>
      </c>
      <c r="D68" s="32" t="n">
        <f aca="false">-D8*((1-Assumptions!$C$7)+Assumptions!$C$7*D63)</f>
        <v>-953.37</v>
      </c>
      <c r="E68" s="32" t="n">
        <f aca="false">-E8*((1-Assumptions!$C$7)+Assumptions!$C$7*E63)</f>
        <v>-1029.6396</v>
      </c>
      <c r="F68" s="32" t="n">
        <f aca="false">-F8*((1-Assumptions!$C$7)+Assumptions!$C$7*F63)</f>
        <v>-1112.010768</v>
      </c>
      <c r="G68" s="32" t="n">
        <f aca="false">-G8*((1-Assumptions!$C$7)+Assumptions!$C$7*G63)</f>
        <v>-1200.97162944</v>
      </c>
      <c r="H68" s="32" t="n">
        <f aca="false">-H8*((1-Assumptions!$C$7)+Assumptions!$C$7*H63)</f>
        <v>-1297.0493597952</v>
      </c>
    </row>
    <row r="69" customFormat="false" ht="15" hidden="false" customHeight="false" outlineLevel="0" collapsed="false">
      <c r="A69" s="28" t="s">
        <v>61</v>
      </c>
      <c r="B69" s="29"/>
      <c r="C69" s="29"/>
      <c r="D69" s="30" t="n">
        <f aca="false">SUM(D65:D68)</f>
        <v>1793.15784</v>
      </c>
      <c r="E69" s="30" t="n">
        <f aca="false">SUM(E65:E68)</f>
        <v>2229.5734368</v>
      </c>
      <c r="F69" s="30" t="n">
        <f aca="false">SUM(F65:F68)</f>
        <v>2340.71804286</v>
      </c>
      <c r="G69" s="30" t="n">
        <f aca="false">SUM(G65:G68)</f>
        <v>2424.393621963</v>
      </c>
      <c r="H69" s="30" t="n">
        <f aca="false">SUM(H65:H68)</f>
        <v>2473.33050166392</v>
      </c>
      <c r="I69" s="30" t="n">
        <f aca="false">MIN(D69:H69)</f>
        <v>1793.15784</v>
      </c>
    </row>
    <row r="70" customFormat="false" ht="15" hidden="false" customHeight="false" outlineLevel="0" collapsed="false">
      <c r="A70" s="9" t="s">
        <v>157</v>
      </c>
      <c r="D70" s="33" t="n">
        <f aca="false">D69/D65</f>
        <v>0.17690988737209</v>
      </c>
      <c r="E70" s="33" t="n">
        <f aca="false">E69/E65</f>
        <v>0.196398128721704</v>
      </c>
      <c r="F70" s="33" t="n">
        <f aca="false">F69/F65</f>
        <v>0.194632314385084</v>
      </c>
      <c r="G70" s="33" t="n">
        <f aca="false">G69/G65</f>
        <v>0.191990472676271</v>
      </c>
      <c r="H70" s="33" t="n">
        <f aca="false">H69/H65</f>
        <v>0.18833253800253</v>
      </c>
    </row>
    <row r="71" customFormat="false" ht="15" hidden="false" customHeight="false" outlineLevel="0" collapsed="false">
      <c r="A71" s="9" t="s">
        <v>306</v>
      </c>
      <c r="B71" s="2" t="s">
        <v>307</v>
      </c>
      <c r="D71" s="32" t="n">
        <f aca="false">Debt_Schedule!D22+Assumptions!$E$48*Debt_Schedule!D25</f>
        <v>332.05</v>
      </c>
      <c r="E71" s="32" t="n">
        <f aca="false">Debt_Schedule!E22+Assumptions!$E$48*Debt_Schedule!E25</f>
        <v>312.05</v>
      </c>
      <c r="F71" s="32" t="n">
        <f aca="false">Debt_Schedule!F22+Assumptions!$E$48*Debt_Schedule!F25</f>
        <v>233.55</v>
      </c>
      <c r="G71" s="32" t="n">
        <f aca="false">Debt_Schedule!G22+Assumptions!$E$48*Debt_Schedule!G25</f>
        <v>175.05</v>
      </c>
      <c r="H71" s="32" t="n">
        <f aca="false">Debt_Schedule!H22+Assumptions!$E$48*Debt_Schedule!H25</f>
        <v>116.55</v>
      </c>
    </row>
    <row r="72" customFormat="false" ht="15" hidden="false" customHeight="false" outlineLevel="0" collapsed="false">
      <c r="A72" s="9" t="s">
        <v>150</v>
      </c>
      <c r="D72" s="32" t="n">
        <f aca="false">D69-D9-D71</f>
        <v>761.10784</v>
      </c>
      <c r="E72" s="32" t="n">
        <f aca="false">E69-E9-E71</f>
        <v>1217.5234368</v>
      </c>
      <c r="F72" s="32" t="n">
        <f aca="false">F69-F9-F71</f>
        <v>1407.16804286</v>
      </c>
      <c r="G72" s="32" t="n">
        <f aca="false">G69-G9-G71</f>
        <v>1549.343621963</v>
      </c>
      <c r="H72" s="32" t="n">
        <f aca="false">H69-H9-H71</f>
        <v>1656.78050166392</v>
      </c>
    </row>
    <row r="73" customFormat="false" ht="15" hidden="false" customHeight="false" outlineLevel="0" collapsed="false">
      <c r="A73" s="9" t="s">
        <v>308</v>
      </c>
      <c r="B73" s="2" t="s">
        <v>309</v>
      </c>
      <c r="D73" s="32" t="n">
        <f aca="false">MAX(0,D72*Assumptions!$C$5)</f>
        <v>152.221568</v>
      </c>
      <c r="E73" s="32" t="n">
        <f aca="false">MAX(0,E72*Assumptions!$C$5)</f>
        <v>243.50468736</v>
      </c>
      <c r="F73" s="32" t="n">
        <f aca="false">MAX(0,F72*Assumptions!$C$5)</f>
        <v>281.433608572</v>
      </c>
      <c r="G73" s="32" t="n">
        <f aca="false">MAX(0,G72*Assumptions!$C$5)</f>
        <v>309.8687243926</v>
      </c>
      <c r="H73" s="32" t="n">
        <f aca="false">MAX(0,H72*Assumptions!$C$5)</f>
        <v>331.356100332784</v>
      </c>
    </row>
    <row r="74" customFormat="false" ht="15" hidden="false" customHeight="false" outlineLevel="0" collapsed="false">
      <c r="A74" s="9" t="s">
        <v>153</v>
      </c>
      <c r="D74" s="32" t="n">
        <f aca="false">D72-D73</f>
        <v>608.886272</v>
      </c>
      <c r="E74" s="32" t="n">
        <f aca="false">E72-E73</f>
        <v>974.01874944</v>
      </c>
      <c r="F74" s="32" t="n">
        <f aca="false">F72-F73</f>
        <v>1125.734434288</v>
      </c>
      <c r="G74" s="32" t="n">
        <f aca="false">G72-G73</f>
        <v>1239.4748975704</v>
      </c>
      <c r="H74" s="32" t="n">
        <f aca="false">H72-H73</f>
        <v>1325.42440133114</v>
      </c>
    </row>
    <row r="75" customFormat="false" ht="15" hidden="false" customHeight="false" outlineLevel="0" collapsed="false">
      <c r="A75" s="9" t="s">
        <v>310</v>
      </c>
      <c r="B75" s="2" t="s">
        <v>311</v>
      </c>
      <c r="D75" s="32" t="n">
        <f aca="false">Assumptions!$C$9*D65</f>
        <v>202.719912</v>
      </c>
      <c r="E75" s="32" t="n">
        <f aca="false">Assumptions!$C$9*E65</f>
        <v>227.04630144</v>
      </c>
      <c r="F75" s="32" t="n">
        <f aca="false">Assumptions!$C$9*F65</f>
        <v>240.527175588</v>
      </c>
      <c r="G75" s="32" t="n">
        <f aca="false">Assumptions!$C$9*G65</f>
        <v>252.5535343674</v>
      </c>
      <c r="H75" s="32" t="n">
        <f aca="false">Assumptions!$C$9*H65</f>
        <v>262.655675742096</v>
      </c>
    </row>
    <row r="76" customFormat="false" ht="15" hidden="false" customHeight="false" outlineLevel="0" collapsed="false">
      <c r="A76" s="9" t="s">
        <v>312</v>
      </c>
      <c r="B76" s="2" t="s">
        <v>313</v>
      </c>
      <c r="D76" s="32" t="n">
        <f aca="false">MAX(0,Assumptions!$C$8*(D65-$C$7))</f>
        <v>117.718812</v>
      </c>
      <c r="E76" s="32" t="n">
        <f aca="false">MAX(0,Assumptions!$C$8*(E65-D65))</f>
        <v>328.40625744</v>
      </c>
      <c r="F76" s="32" t="n">
        <f aca="false">MAX(0,Assumptions!$C$8*(F65-E65))</f>
        <v>181.991800997999</v>
      </c>
      <c r="G76" s="32" t="n">
        <f aca="false">MAX(0,Assumptions!$C$8*(G65-F65))</f>
        <v>162.3558435219</v>
      </c>
      <c r="H76" s="32" t="n">
        <f aca="false">MAX(0,Assumptions!$C$8*(H65-G65))</f>
        <v>136.378908558396</v>
      </c>
    </row>
    <row r="77" customFormat="false" ht="15" hidden="false" customHeight="false" outlineLevel="0" collapsed="false">
      <c r="A77" s="28" t="s">
        <v>314</v>
      </c>
      <c r="B77" s="39" t="s">
        <v>315</v>
      </c>
      <c r="C77" s="29"/>
      <c r="D77" s="30" t="n">
        <f aca="false">D69-D73-D75-D76</f>
        <v>1320.497548</v>
      </c>
      <c r="E77" s="30" t="n">
        <f aca="false">E69-E73-E75-E76</f>
        <v>1430.61619056</v>
      </c>
      <c r="F77" s="30" t="n">
        <f aca="false">F69-F73-F75-F76</f>
        <v>1636.765457702</v>
      </c>
      <c r="G77" s="30" t="n">
        <f aca="false">G69-G73-G75-G76</f>
        <v>1699.6155196811</v>
      </c>
      <c r="H77" s="30" t="n">
        <f aca="false">H69-H73-H75-H76</f>
        <v>1742.93981703064</v>
      </c>
      <c r="I77" s="29"/>
    </row>
    <row r="78" customFormat="false" ht="15" hidden="false" customHeight="false" outlineLevel="0" collapsed="false">
      <c r="A78" s="9" t="s">
        <v>316</v>
      </c>
      <c r="D78" s="14" t="n">
        <f aca="false">Debt_Schedule!D23</f>
        <v>200</v>
      </c>
      <c r="E78" s="14" t="n">
        <f aca="false">Debt_Schedule!E23</f>
        <v>800</v>
      </c>
      <c r="F78" s="14" t="n">
        <f aca="false">Debt_Schedule!F23</f>
        <v>600</v>
      </c>
      <c r="G78" s="14" t="n">
        <f aca="false">Debt_Schedule!G23</f>
        <v>600</v>
      </c>
      <c r="H78" s="14" t="n">
        <f aca="false">Debt_Schedule!H23</f>
        <v>600</v>
      </c>
    </row>
    <row r="79" customFormat="false" ht="15" hidden="false" customHeight="false" outlineLevel="0" collapsed="false">
      <c r="A79" s="6" t="s">
        <v>317</v>
      </c>
      <c r="B79" s="2" t="s">
        <v>318</v>
      </c>
      <c r="D79" s="31" t="n">
        <f aca="false">D71+D78</f>
        <v>532.05</v>
      </c>
      <c r="E79" s="31" t="n">
        <f aca="false">E71+E78</f>
        <v>1112.05</v>
      </c>
      <c r="F79" s="31" t="n">
        <f aca="false">F71+F78</f>
        <v>833.55</v>
      </c>
      <c r="G79" s="31" t="n">
        <f aca="false">G71+G78</f>
        <v>775.05</v>
      </c>
      <c r="H79" s="31" t="n">
        <f aca="false">H71+H78</f>
        <v>716.55</v>
      </c>
    </row>
    <row r="80" customFormat="false" ht="15" hidden="false" customHeight="false" outlineLevel="0" collapsed="false">
      <c r="A80" s="6" t="s">
        <v>319</v>
      </c>
      <c r="B80" s="2" t="s">
        <v>320</v>
      </c>
      <c r="D80" s="40" t="n">
        <f aca="false">D77/D79</f>
        <v>2.48190498637346</v>
      </c>
      <c r="E80" s="40" t="n">
        <f aca="false">E77/E79</f>
        <v>1.28646750646104</v>
      </c>
      <c r="F80" s="40" t="n">
        <f aca="false">F77/F79</f>
        <v>1.9636080111595</v>
      </c>
      <c r="G80" s="40" t="n">
        <f aca="false">G77/G79</f>
        <v>2.19291080534301</v>
      </c>
      <c r="H80" s="40" t="n">
        <f aca="false">H77/H79</f>
        <v>2.43240501992972</v>
      </c>
      <c r="I80" s="40" t="n">
        <f aca="false">MIN(D80:H80)</f>
        <v>1.28646750646104</v>
      </c>
    </row>
    <row r="81" customFormat="false" ht="15" hidden="false" customHeight="false" outlineLevel="0" collapsed="false">
      <c r="A81" s="9" t="s">
        <v>321</v>
      </c>
      <c r="B81" s="2" t="s">
        <v>322</v>
      </c>
      <c r="D81" s="33" t="n">
        <f aca="false">1-1/D80</f>
        <v>0.597083689548812</v>
      </c>
      <c r="E81" s="33" t="n">
        <f aca="false">1-1/E80</f>
        <v>0.222677607496739</v>
      </c>
      <c r="F81" s="33" t="n">
        <f aca="false">1-1/F80</f>
        <v>0.490733387561652</v>
      </c>
      <c r="G81" s="33" t="n">
        <f aca="false">1-1/G80</f>
        <v>0.543985100733004</v>
      </c>
      <c r="H81" s="33" t="n">
        <f aca="false">1-1/H80</f>
        <v>0.588884255785292</v>
      </c>
    </row>
    <row r="82" customFormat="false" ht="15" hidden="false" customHeight="false" outlineLevel="0" collapsed="false">
      <c r="A82" s="9" t="s">
        <v>232</v>
      </c>
      <c r="B82" s="2" t="s">
        <v>323</v>
      </c>
      <c r="D82" s="35" t="n">
        <f aca="false">Debt_Schedule!D26/D69</f>
        <v>1.8012915137465</v>
      </c>
      <c r="E82" s="35" t="n">
        <f aca="false">Debt_Schedule!E26/E69</f>
        <v>1.08989457799052</v>
      </c>
      <c r="F82" s="35" t="n">
        <f aca="false">Debt_Schedule!F26/F69</f>
        <v>0.781811378599031</v>
      </c>
      <c r="G82" s="35" t="n">
        <f aca="false">Debt_Schedule!G26/G69</f>
        <v>0.507343357471831</v>
      </c>
      <c r="H82" s="35" t="n">
        <f aca="false">Debt_Schedule!H26/H69</f>
        <v>0.25471727275274</v>
      </c>
      <c r="I82" s="22" t="n">
        <f aca="false">MAX(D82:H82)</f>
        <v>1.8012915137465</v>
      </c>
    </row>
    <row r="83" customFormat="false" ht="15" hidden="false" customHeight="false" outlineLevel="0" collapsed="false">
      <c r="A83" s="9" t="s">
        <v>324</v>
      </c>
      <c r="D83" s="32" t="n">
        <f aca="false">0+D77-D79</f>
        <v>788.447548</v>
      </c>
      <c r="E83" s="32" t="n">
        <f aca="false">D83+E77-E79</f>
        <v>1107.01373856</v>
      </c>
      <c r="F83" s="32" t="n">
        <f aca="false">E83+F77-F79</f>
        <v>1910.229196262</v>
      </c>
      <c r="G83" s="32" t="n">
        <f aca="false">F83+G77-G79</f>
        <v>2834.7947159431</v>
      </c>
      <c r="H83" s="32" t="n">
        <f aca="false">G83+H77-H79</f>
        <v>3861.18453297374</v>
      </c>
    </row>
    <row r="84" customFormat="false" ht="15" hidden="false" customHeight="false" outlineLevel="0" collapsed="false">
      <c r="A84" s="9" t="s">
        <v>325</v>
      </c>
      <c r="D84" s="41" t="str">
        <f aca="false">IF(D80&gt;=Assumptions!$C$51,"PASS","BREACH")</f>
        <v>PASS</v>
      </c>
      <c r="E84" s="41" t="str">
        <f aca="false">IF(E80&gt;=Assumptions!$C$51,"PASS","BREACH")</f>
        <v>PASS</v>
      </c>
      <c r="F84" s="41" t="str">
        <f aca="false">IF(F80&gt;=Assumptions!$C$51,"PASS","BREACH")</f>
        <v>PASS</v>
      </c>
      <c r="G84" s="41" t="str">
        <f aca="false">IF(G80&gt;=Assumptions!$C$51,"PASS","BREACH")</f>
        <v>PASS</v>
      </c>
      <c r="H84" s="41" t="str">
        <f aca="false">IF(H80&gt;=Assumptions!$C$51,"PASS","BREACH")</f>
        <v>PASS</v>
      </c>
    </row>
    <row r="85" customFormat="false" ht="15" hidden="false" customHeight="false" outlineLevel="0" collapsed="false">
      <c r="A85" s="9" t="s">
        <v>326</v>
      </c>
      <c r="D85" s="41" t="str">
        <f aca="false">IF(D82&lt;=Assumptions!$C$52,"PASS","BREACH")</f>
        <v>PASS</v>
      </c>
      <c r="E85" s="41" t="str">
        <f aca="false">IF(E82&lt;=Assumptions!$C$52,"PASS","BREACH")</f>
        <v>PASS</v>
      </c>
      <c r="F85" s="41" t="str">
        <f aca="false">IF(F82&lt;=Assumptions!$C$52,"PASS","BREACH")</f>
        <v>PASS</v>
      </c>
      <c r="G85" s="41" t="str">
        <f aca="false">IF(G82&lt;=Assumptions!$C$52,"PASS","BREACH")</f>
        <v>PASS</v>
      </c>
      <c r="H85" s="41" t="str">
        <f aca="false">IF(H82&lt;=Assumptions!$C$52,"PASS","BREACH")</f>
        <v>PASS</v>
      </c>
    </row>
    <row r="87" customFormat="false" ht="15" hidden="false" customHeight="false" outlineLevel="0" collapsed="false">
      <c r="A87" s="12" t="s">
        <v>329</v>
      </c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9" t="s">
        <v>295</v>
      </c>
      <c r="B88" s="2" t="s">
        <v>296</v>
      </c>
      <c r="D88" s="38" t="n">
        <f aca="false">(1+Assumptions!$F$45*Assumptions!$F$44)/(1+Assumptions!$F$44)</f>
        <v>0.857142857142857</v>
      </c>
      <c r="E88" s="38" t="n">
        <f aca="false">(1+Assumptions!$F$45*Assumptions!$F$44)/(1+Assumptions!$F$44)</f>
        <v>0.857142857142857</v>
      </c>
      <c r="F88" s="38" t="n">
        <f aca="false">(1+Assumptions!$F$45*Assumptions!$F$44)/(1+Assumptions!$F$44)</f>
        <v>0.857142857142857</v>
      </c>
      <c r="G88" s="38" t="n">
        <f aca="false">(1+Assumptions!$F$45*Assumptions!$F$44)/(1+Assumptions!$F$44)</f>
        <v>0.857142857142857</v>
      </c>
      <c r="H88" s="38" t="n">
        <f aca="false">(1+Assumptions!$F$45*Assumptions!$F$44)/(1+Assumptions!$F$44)</f>
        <v>0.857142857142857</v>
      </c>
    </row>
    <row r="89" customFormat="false" ht="15" hidden="false" customHeight="false" outlineLevel="0" collapsed="false">
      <c r="A89" s="9" t="s">
        <v>297</v>
      </c>
      <c r="B89" s="2" t="s">
        <v>298</v>
      </c>
      <c r="D89" s="32" t="n">
        <f aca="false">D7*(1+Assumptions!$F$43)</f>
        <v>9264.082</v>
      </c>
      <c r="E89" s="32" t="n">
        <f aca="false">E7*(1+Assumptions!$F$43)</f>
        <v>10375.77184</v>
      </c>
      <c r="F89" s="32" t="n">
        <f aca="false">F7*(1+Assumptions!$F$43)</f>
        <v>10991.833293</v>
      </c>
      <c r="G89" s="32" t="n">
        <f aca="false">G7*(1+Assumptions!$F$43)</f>
        <v>11541.42495765</v>
      </c>
      <c r="H89" s="32" t="n">
        <f aca="false">H7*(1+Assumptions!$F$43)</f>
        <v>12003.081955956</v>
      </c>
    </row>
    <row r="90" customFormat="false" ht="15" hidden="false" customHeight="false" outlineLevel="0" collapsed="false">
      <c r="A90" s="6" t="s">
        <v>299</v>
      </c>
      <c r="B90" s="2" t="s">
        <v>300</v>
      </c>
      <c r="D90" s="31" t="n">
        <f aca="false">D89*(Assumptions!$C$6+(1-Assumptions!$C$6)*D88)</f>
        <v>8708.23708</v>
      </c>
      <c r="E90" s="31" t="n">
        <f aca="false">E89*(Assumptions!$C$6+(1-Assumptions!$C$6)*E88)</f>
        <v>9753.2255296</v>
      </c>
      <c r="F90" s="31" t="n">
        <f aca="false">F89*(Assumptions!$C$6+(1-Assumptions!$C$6)*F88)</f>
        <v>10332.32329542</v>
      </c>
      <c r="G90" s="31" t="n">
        <f aca="false">G89*(Assumptions!$C$6+(1-Assumptions!$C$6)*G88)</f>
        <v>10848.939460191</v>
      </c>
      <c r="H90" s="31" t="n">
        <f aca="false">H89*(Assumptions!$C$6+(1-Assumptions!$C$6)*H88)</f>
        <v>11282.8970385986</v>
      </c>
    </row>
    <row r="91" customFormat="false" ht="15" hidden="false" customHeight="false" outlineLevel="0" collapsed="false">
      <c r="A91" s="9" t="s">
        <v>301</v>
      </c>
      <c r="B91" s="2" t="s">
        <v>302</v>
      </c>
      <c r="D91" s="32" t="n">
        <f aca="false">-D89*(Assumptions!D34+Assumptions!$F$46)</f>
        <v>-5836.37166</v>
      </c>
      <c r="E91" s="32" t="n">
        <f aca="false">-E89*(Assumptions!E34+Assumptions!$F$46)</f>
        <v>-6536.7362592</v>
      </c>
      <c r="F91" s="32" t="n">
        <f aca="false">-F89*(Assumptions!F34+Assumptions!$F$46)</f>
        <v>-6924.85497459</v>
      </c>
      <c r="G91" s="32" t="n">
        <f aca="false">-G89*(Assumptions!G34+Assumptions!$F$46)</f>
        <v>-7271.0977233195</v>
      </c>
      <c r="H91" s="32" t="n">
        <f aca="false">-H89*(Assumptions!H34+Assumptions!$F$46)</f>
        <v>-7561.94163225228</v>
      </c>
    </row>
    <row r="92" customFormat="false" ht="15" hidden="false" customHeight="false" outlineLevel="0" collapsed="false">
      <c r="A92" s="9" t="s">
        <v>303</v>
      </c>
      <c r="D92" s="32" t="n">
        <f aca="false">-D89*(Assumptions!D35+Assumptions!$F$47)</f>
        <v>-768.918806</v>
      </c>
      <c r="E92" s="32" t="n">
        <f aca="false">-E89*(Assumptions!E35+Assumptions!$F$47)</f>
        <v>-705.55248512</v>
      </c>
      <c r="F92" s="32" t="n">
        <f aca="false">-F89*(Assumptions!F35+Assumptions!$F$47)</f>
        <v>-747.444663924</v>
      </c>
      <c r="G92" s="32" t="n">
        <f aca="false">-G89*(Assumptions!G35+Assumptions!$F$47)</f>
        <v>-784.8168971202</v>
      </c>
      <c r="H92" s="32" t="n">
        <f aca="false">-H89*(Assumptions!H35+Assumptions!$F$47)</f>
        <v>-816.209573005008</v>
      </c>
    </row>
    <row r="93" customFormat="false" ht="15" hidden="false" customHeight="false" outlineLevel="0" collapsed="false">
      <c r="A93" s="9" t="s">
        <v>304</v>
      </c>
      <c r="B93" s="2" t="s">
        <v>305</v>
      </c>
      <c r="D93" s="32" t="n">
        <f aca="false">-D8*((1-Assumptions!$C$7)+Assumptions!$C$7*D88)</f>
        <v>-969.917142857143</v>
      </c>
      <c r="E93" s="32" t="n">
        <f aca="false">-E8*((1-Assumptions!$C$7)+Assumptions!$C$7*E88)</f>
        <v>-1047.51051428571</v>
      </c>
      <c r="F93" s="32" t="n">
        <f aca="false">-F8*((1-Assumptions!$C$7)+Assumptions!$C$7*F88)</f>
        <v>-1131.31135542857</v>
      </c>
      <c r="G93" s="32" t="n">
        <f aca="false">-G8*((1-Assumptions!$C$7)+Assumptions!$C$7*G88)</f>
        <v>-1221.81626386286</v>
      </c>
      <c r="H93" s="32" t="n">
        <f aca="false">-H8*((1-Assumptions!$C$7)+Assumptions!$C$7*H88)</f>
        <v>-1319.56156497189</v>
      </c>
    </row>
    <row r="94" customFormat="false" ht="15" hidden="false" customHeight="false" outlineLevel="0" collapsed="false">
      <c r="A94" s="28" t="s">
        <v>61</v>
      </c>
      <c r="B94" s="29"/>
      <c r="C94" s="29"/>
      <c r="D94" s="30" t="n">
        <f aca="false">SUM(D90:D93)</f>
        <v>1133.02947114286</v>
      </c>
      <c r="E94" s="30" t="n">
        <f aca="false">SUM(E90:E93)</f>
        <v>1463.42627099428</v>
      </c>
      <c r="F94" s="30" t="n">
        <f aca="false">SUM(F90:F93)</f>
        <v>1528.71230147743</v>
      </c>
      <c r="G94" s="30" t="n">
        <f aca="false">SUM(G90:G93)</f>
        <v>1571.20857588844</v>
      </c>
      <c r="H94" s="30" t="n">
        <f aca="false">SUM(H90:H93)</f>
        <v>1585.18426836946</v>
      </c>
      <c r="I94" s="30" t="n">
        <f aca="false">MIN(D94:H94)</f>
        <v>1133.02947114286</v>
      </c>
    </row>
    <row r="95" customFormat="false" ht="15" hidden="false" customHeight="false" outlineLevel="0" collapsed="false">
      <c r="A95" s="9" t="s">
        <v>157</v>
      </c>
      <c r="D95" s="33" t="n">
        <f aca="false">D94/D90</f>
        <v>0.130110085512607</v>
      </c>
      <c r="E95" s="33" t="n">
        <f aca="false">E94/E90</f>
        <v>0.150045363613601</v>
      </c>
      <c r="F95" s="33" t="n">
        <f aca="false">F94/F90</f>
        <v>0.147954362031534</v>
      </c>
      <c r="G95" s="33" t="n">
        <f aca="false">G94/G90</f>
        <v>0.144826006417846</v>
      </c>
      <c r="H95" s="33" t="n">
        <f aca="false">H94/H90</f>
        <v>0.140494437106585</v>
      </c>
    </row>
    <row r="96" customFormat="false" ht="15" hidden="false" customHeight="false" outlineLevel="0" collapsed="false">
      <c r="A96" s="9" t="s">
        <v>306</v>
      </c>
      <c r="B96" s="2" t="s">
        <v>307</v>
      </c>
      <c r="D96" s="32" t="n">
        <f aca="false">Debt_Schedule!D22+Assumptions!$F$48*Debt_Schedule!D25</f>
        <v>383.5</v>
      </c>
      <c r="E96" s="32" t="n">
        <f aca="false">Debt_Schedule!E22+Assumptions!$F$48*Debt_Schedule!E25</f>
        <v>360.5</v>
      </c>
      <c r="F96" s="32" t="n">
        <f aca="false">Debt_Schedule!F22+Assumptions!$F$48*Debt_Schedule!F25</f>
        <v>270</v>
      </c>
      <c r="G96" s="32" t="n">
        <f aca="false">Debt_Schedule!G22+Assumptions!$F$48*Debt_Schedule!G25</f>
        <v>202.5</v>
      </c>
      <c r="H96" s="32" t="n">
        <f aca="false">Debt_Schedule!H22+Assumptions!$F$48*Debt_Schedule!H25</f>
        <v>135</v>
      </c>
    </row>
    <row r="97" customFormat="false" ht="15" hidden="false" customHeight="false" outlineLevel="0" collapsed="false">
      <c r="A97" s="9" t="s">
        <v>150</v>
      </c>
      <c r="D97" s="32" t="n">
        <f aca="false">D94-D9-D96</f>
        <v>49.5294711428551</v>
      </c>
      <c r="E97" s="32" t="n">
        <f aca="false">E94-E9-E96</f>
        <v>402.926270994285</v>
      </c>
      <c r="F97" s="32" t="n">
        <f aca="false">F94-F9-F96</f>
        <v>558.712301477428</v>
      </c>
      <c r="G97" s="32" t="n">
        <f aca="false">G94-G9-G96</f>
        <v>668.708575888442</v>
      </c>
      <c r="H97" s="32" t="n">
        <f aca="false">H94-H9-H96</f>
        <v>750.184268369465</v>
      </c>
    </row>
    <row r="98" customFormat="false" ht="15" hidden="false" customHeight="false" outlineLevel="0" collapsed="false">
      <c r="A98" s="9" t="s">
        <v>308</v>
      </c>
      <c r="B98" s="2" t="s">
        <v>309</v>
      </c>
      <c r="D98" s="32" t="n">
        <f aca="false">MAX(0,D97*Assumptions!$C$5)</f>
        <v>9.90589422857102</v>
      </c>
      <c r="E98" s="32" t="n">
        <f aca="false">MAX(0,E97*Assumptions!$C$5)</f>
        <v>80.585254198857</v>
      </c>
      <c r="F98" s="32" t="n">
        <f aca="false">MAX(0,F97*Assumptions!$C$5)</f>
        <v>111.742460295486</v>
      </c>
      <c r="G98" s="32" t="n">
        <f aca="false">MAX(0,G97*Assumptions!$C$5)</f>
        <v>133.741715177688</v>
      </c>
      <c r="H98" s="32" t="n">
        <f aca="false">MAX(0,H97*Assumptions!$C$5)</f>
        <v>150.036853673893</v>
      </c>
    </row>
    <row r="99" customFormat="false" ht="15" hidden="false" customHeight="false" outlineLevel="0" collapsed="false">
      <c r="A99" s="9" t="s">
        <v>153</v>
      </c>
      <c r="D99" s="32" t="n">
        <f aca="false">D97-D98</f>
        <v>39.6235769142841</v>
      </c>
      <c r="E99" s="32" t="n">
        <f aca="false">E97-E98</f>
        <v>322.341016795428</v>
      </c>
      <c r="F99" s="32" t="n">
        <f aca="false">F97-F98</f>
        <v>446.969841181942</v>
      </c>
      <c r="G99" s="32" t="n">
        <f aca="false">G97-G98</f>
        <v>534.966860710754</v>
      </c>
      <c r="H99" s="32" t="n">
        <f aca="false">H97-H98</f>
        <v>600.147414695572</v>
      </c>
    </row>
    <row r="100" customFormat="false" ht="15" hidden="false" customHeight="false" outlineLevel="0" collapsed="false">
      <c r="A100" s="9" t="s">
        <v>310</v>
      </c>
      <c r="B100" s="2" t="s">
        <v>311</v>
      </c>
      <c r="D100" s="32" t="n">
        <f aca="false">Assumptions!$C$9*D90</f>
        <v>174.1647416</v>
      </c>
      <c r="E100" s="32" t="n">
        <f aca="false">Assumptions!$C$9*E90</f>
        <v>195.064510592</v>
      </c>
      <c r="F100" s="32" t="n">
        <f aca="false">Assumptions!$C$9*F90</f>
        <v>206.6464659084</v>
      </c>
      <c r="G100" s="32" t="n">
        <f aca="false">Assumptions!$C$9*G90</f>
        <v>216.97878920382</v>
      </c>
      <c r="H100" s="32" t="n">
        <f aca="false">Assumptions!$C$9*H90</f>
        <v>225.657940771973</v>
      </c>
    </row>
    <row r="101" customFormat="false" ht="15" hidden="false" customHeight="false" outlineLevel="0" collapsed="false">
      <c r="A101" s="9" t="s">
        <v>312</v>
      </c>
      <c r="B101" s="2" t="s">
        <v>313</v>
      </c>
      <c r="D101" s="32" t="n">
        <f aca="false">MAX(0,Assumptions!$C$8*(D90-$C$7))</f>
        <v>0</v>
      </c>
      <c r="E101" s="32" t="n">
        <f aca="false">MAX(0,Assumptions!$C$8*(E90-D90))</f>
        <v>282.146881392</v>
      </c>
      <c r="F101" s="32" t="n">
        <f aca="false">MAX(0,Assumptions!$C$8*(F90-E90))</f>
        <v>156.3563967714</v>
      </c>
      <c r="G101" s="32" t="n">
        <f aca="false">MAX(0,Assumptions!$C$8*(G90-F90))</f>
        <v>139.48636448817</v>
      </c>
      <c r="H101" s="32" t="n">
        <f aca="false">MAX(0,Assumptions!$C$8*(H90-G90))</f>
        <v>117.168546170062</v>
      </c>
    </row>
    <row r="102" customFormat="false" ht="15" hidden="false" customHeight="false" outlineLevel="0" collapsed="false">
      <c r="A102" s="28" t="s">
        <v>314</v>
      </c>
      <c r="B102" s="39" t="s">
        <v>315</v>
      </c>
      <c r="C102" s="29"/>
      <c r="D102" s="30" t="n">
        <f aca="false">D94-D98-D100-D101</f>
        <v>948.958835314284</v>
      </c>
      <c r="E102" s="30" t="n">
        <f aca="false">E94-E98-E100-E101</f>
        <v>905.629624811427</v>
      </c>
      <c r="F102" s="30" t="n">
        <f aca="false">F94-F98-F100-F101</f>
        <v>1053.96697850214</v>
      </c>
      <c r="G102" s="30" t="n">
        <f aca="false">G94-G98-G100-G101</f>
        <v>1081.00170701876</v>
      </c>
      <c r="H102" s="30" t="n">
        <f aca="false">H94-H98-H100-H101</f>
        <v>1092.32092775354</v>
      </c>
      <c r="I102" s="29"/>
    </row>
    <row r="103" customFormat="false" ht="15" hidden="false" customHeight="false" outlineLevel="0" collapsed="false">
      <c r="A103" s="9" t="s">
        <v>316</v>
      </c>
      <c r="D103" s="14" t="n">
        <f aca="false">Debt_Schedule!D23</f>
        <v>200</v>
      </c>
      <c r="E103" s="14" t="n">
        <f aca="false">Debt_Schedule!E23</f>
        <v>800</v>
      </c>
      <c r="F103" s="14" t="n">
        <f aca="false">Debt_Schedule!F23</f>
        <v>600</v>
      </c>
      <c r="G103" s="14" t="n">
        <f aca="false">Debt_Schedule!G23</f>
        <v>600</v>
      </c>
      <c r="H103" s="14" t="n">
        <f aca="false">Debt_Schedule!H23</f>
        <v>600</v>
      </c>
    </row>
    <row r="104" customFormat="false" ht="15" hidden="false" customHeight="false" outlineLevel="0" collapsed="false">
      <c r="A104" s="6" t="s">
        <v>317</v>
      </c>
      <c r="B104" s="2" t="s">
        <v>318</v>
      </c>
      <c r="D104" s="31" t="n">
        <f aca="false">D96+D103</f>
        <v>583.5</v>
      </c>
      <c r="E104" s="31" t="n">
        <f aca="false">E96+E103</f>
        <v>1160.5</v>
      </c>
      <c r="F104" s="31" t="n">
        <f aca="false">F96+F103</f>
        <v>870</v>
      </c>
      <c r="G104" s="31" t="n">
        <f aca="false">G96+G103</f>
        <v>802.5</v>
      </c>
      <c r="H104" s="31" t="n">
        <f aca="false">H96+H103</f>
        <v>735</v>
      </c>
    </row>
    <row r="105" customFormat="false" ht="15" hidden="false" customHeight="false" outlineLevel="0" collapsed="false">
      <c r="A105" s="6" t="s">
        <v>319</v>
      </c>
      <c r="B105" s="2" t="s">
        <v>320</v>
      </c>
      <c r="D105" s="40" t="n">
        <f aca="false">D102/D104</f>
        <v>1.62632191142122</v>
      </c>
      <c r="E105" s="40" t="n">
        <f aca="false">E102/E104</f>
        <v>0.78037882362036</v>
      </c>
      <c r="F105" s="40" t="n">
        <f aca="false">F102/F104</f>
        <v>1.2114562971289</v>
      </c>
      <c r="G105" s="40" t="n">
        <f aca="false">G102/G104</f>
        <v>1.34704262556855</v>
      </c>
      <c r="H105" s="40" t="n">
        <f aca="false">H102/H104</f>
        <v>1.48615092211366</v>
      </c>
      <c r="I105" s="40" t="n">
        <f aca="false">MIN(D105:H105)</f>
        <v>0.78037882362036</v>
      </c>
    </row>
    <row r="106" customFormat="false" ht="15" hidden="false" customHeight="false" outlineLevel="0" collapsed="false">
      <c r="A106" s="9" t="s">
        <v>321</v>
      </c>
      <c r="B106" s="2" t="s">
        <v>322</v>
      </c>
      <c r="D106" s="33" t="n">
        <f aca="false">1-1/D105</f>
        <v>0.385115583220476</v>
      </c>
      <c r="E106" s="33" t="n">
        <f aca="false">1-1/E105</f>
        <v>-0.281428928787132</v>
      </c>
      <c r="F106" s="33" t="n">
        <f aca="false">1-1/F105</f>
        <v>0.174547193844336</v>
      </c>
      <c r="G106" s="33" t="n">
        <f aca="false">1-1/G105</f>
        <v>0.257632994666427</v>
      </c>
      <c r="H106" s="33" t="n">
        <f aca="false">1-1/H105</f>
        <v>0.327120829304627</v>
      </c>
    </row>
    <row r="107" customFormat="false" ht="15" hidden="false" customHeight="false" outlineLevel="0" collapsed="false">
      <c r="A107" s="9" t="s">
        <v>232</v>
      </c>
      <c r="B107" s="2" t="s">
        <v>323</v>
      </c>
      <c r="D107" s="35" t="n">
        <f aca="false">Debt_Schedule!D26/D94</f>
        <v>2.85076432896489</v>
      </c>
      <c r="E107" s="35" t="n">
        <f aca="false">Debt_Schedule!E26/E94</f>
        <v>1.66048679606456</v>
      </c>
      <c r="F107" s="35" t="n">
        <f aca="false">Debt_Schedule!F26/F94</f>
        <v>1.19708593842765</v>
      </c>
      <c r="G107" s="35" t="n">
        <f aca="false">Debt_Schedule!G26/G94</f>
        <v>0.782836867666977</v>
      </c>
      <c r="H107" s="35" t="n">
        <f aca="false">Debt_Schedule!H26/H94</f>
        <v>0.39743013640176</v>
      </c>
      <c r="I107" s="22" t="n">
        <f aca="false">MAX(D107:H107)</f>
        <v>2.85076432896489</v>
      </c>
    </row>
    <row r="108" customFormat="false" ht="15" hidden="false" customHeight="false" outlineLevel="0" collapsed="false">
      <c r="A108" s="9" t="s">
        <v>324</v>
      </c>
      <c r="D108" s="32" t="n">
        <f aca="false">0+D102-D104</f>
        <v>365.458835314284</v>
      </c>
      <c r="E108" s="32" t="n">
        <f aca="false">D108+E102-E104</f>
        <v>110.588460125712</v>
      </c>
      <c r="F108" s="32" t="n">
        <f aca="false">E108+F102-F104</f>
        <v>294.555438627854</v>
      </c>
      <c r="G108" s="32" t="n">
        <f aca="false">F108+G102-G104</f>
        <v>573.057145646618</v>
      </c>
      <c r="H108" s="32" t="n">
        <f aca="false">G108+H102-H104</f>
        <v>930.378073400155</v>
      </c>
    </row>
    <row r="109" customFormat="false" ht="15" hidden="false" customHeight="false" outlineLevel="0" collapsed="false">
      <c r="A109" s="9" t="s">
        <v>325</v>
      </c>
      <c r="D109" s="41" t="str">
        <f aca="false">IF(D105&gt;=Assumptions!$C$51,"PASS","BREACH")</f>
        <v>PASS</v>
      </c>
      <c r="E109" s="41" t="str">
        <f aca="false">IF(E105&gt;=Assumptions!$C$51,"PASS","BREACH")</f>
        <v>BREACH</v>
      </c>
      <c r="F109" s="41" t="str">
        <f aca="false">IF(F105&gt;=Assumptions!$C$51,"PASS","BREACH")</f>
        <v>BREACH</v>
      </c>
      <c r="G109" s="41" t="str">
        <f aca="false">IF(G105&gt;=Assumptions!$C$51,"PASS","BREACH")</f>
        <v>PASS</v>
      </c>
      <c r="H109" s="41" t="str">
        <f aca="false">IF(H105&gt;=Assumptions!$C$51,"PASS","BREACH")</f>
        <v>PASS</v>
      </c>
    </row>
    <row r="110" customFormat="false" ht="15" hidden="false" customHeight="false" outlineLevel="0" collapsed="false">
      <c r="A110" s="9" t="s">
        <v>326</v>
      </c>
      <c r="D110" s="41" t="str">
        <f aca="false">IF(D107&lt;=Assumptions!$C$52,"PASS","BREACH")</f>
        <v>PASS</v>
      </c>
      <c r="E110" s="41" t="str">
        <f aca="false">IF(E107&lt;=Assumptions!$C$52,"PASS","BREACH")</f>
        <v>PASS</v>
      </c>
      <c r="F110" s="41" t="str">
        <f aca="false">IF(F107&lt;=Assumptions!$C$52,"PASS","BREACH")</f>
        <v>PASS</v>
      </c>
      <c r="G110" s="41" t="str">
        <f aca="false">IF(G107&lt;=Assumptions!$C$52,"PASS","BREACH")</f>
        <v>PASS</v>
      </c>
      <c r="H110" s="41" t="str">
        <f aca="false">IF(H107&lt;=Assumptions!$C$52,"PASS","BREACH")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8" min="3" style="0" width="12"/>
  </cols>
  <sheetData>
    <row r="1" customFormat="false" ht="19.7" hidden="false" customHeight="false" outlineLevel="0" collapsed="false">
      <c r="A1" s="11" t="s">
        <v>330</v>
      </c>
    </row>
    <row r="2" customFormat="false" ht="15" hidden="false" customHeight="false" outlineLevel="0" collapsed="false">
      <c r="A2" s="2" t="s">
        <v>331</v>
      </c>
    </row>
    <row r="4" customFormat="false" ht="15" hidden="false" customHeight="false" outlineLevel="0" collapsed="false">
      <c r="A4" s="6" t="s">
        <v>332</v>
      </c>
      <c r="B4" s="16" t="n">
        <f aca="false">Assumptions!$C$45</f>
        <v>0.5</v>
      </c>
    </row>
    <row r="6" customFormat="false" ht="15" hidden="false" customHeight="false" outlineLevel="0" collapsed="false">
      <c r="A6" s="20" t="s">
        <v>333</v>
      </c>
      <c r="B6" s="20"/>
      <c r="C6" s="42" t="n">
        <v>0</v>
      </c>
      <c r="D6" s="42" t="n">
        <v>0.2</v>
      </c>
      <c r="E6" s="42" t="n">
        <v>0.4</v>
      </c>
      <c r="F6" s="42" t="n">
        <v>0.6</v>
      </c>
      <c r="G6" s="42" t="n">
        <v>0.8</v>
      </c>
    </row>
    <row r="7" customFormat="false" ht="15" hidden="false" customHeight="false" outlineLevel="0" collapsed="false">
      <c r="A7" s="43" t="n">
        <v>0</v>
      </c>
      <c r="C7" s="35" t="n">
        <f aca="false">((((Projections!$E$7*(1+$A7))*(Assumptions!$C$6+(1-Assumptions!$C$6)*((1+$B$4*C$6)/(1+C$6))))-(Projections!$E$7*(1+$A7))*(Assumptions!$E$34+Assumptions!$E$35)-Projections!$E$8*((1-Assumptions!$C$7)+Assumptions!$C$7*((1+$B$4*C$6)/(1+C$6))))-MAX(0,((((Projections!$E$7*(1+$A7))*(Assumptions!$C$6+(1-Assumptions!$C$6)*((1+$B$4*C$6)/(1+C$6))))-(Projections!$E$7*(1+$A7))*(Assumptions!$E$34+Assumptions!$E$35)-Projections!$E$8*((1-Assumptions!$C$7)+Assumptions!$C$7*((1+$B$4*C$6)/(1+C$6))))-Projections!$E$9-Debt_Schedule!$E$22)*Assumptions!$C$5)-Assumptions!$C$9*((Projections!$E$7*(1+$A7))*(Assumptions!$C$6+(1-Assumptions!$C$6)*((1+$B$4*C$6)/(1+C$6))))-MAX(0,Assumptions!$C$8*(((Projections!$E$7*(1+$A7))*(Assumptions!$C$6+(1-Assumptions!$C$6)*((1+$B$4*C$6)/(1+C$6))))-(Projections!$D$7*(1+$A7)*(Assumptions!$C$6+(1-Assumptions!$C$6)*((1+$B$4*C$6)/(1+C$6)))))))/Debt_Schedule!$E$24</f>
        <v>1.77358129206421</v>
      </c>
      <c r="D7" s="35" t="n">
        <f aca="false">((((Projections!$E$7*(1+$A7))*(Assumptions!$C$6+(1-Assumptions!$C$6)*((1+$B$4*D$6)/(1+D$6))))-(Projections!$E$7*(1+$A7))*(Assumptions!$E$34+Assumptions!$E$35)-Projections!$E$8*((1-Assumptions!$C$7)+Assumptions!$C$7*((1+$B$4*D$6)/(1+D$6))))-MAX(0,((((Projections!$E$7*(1+$A7))*(Assumptions!$C$6+(1-Assumptions!$C$6)*((1+$B$4*D$6)/(1+D$6))))-(Projections!$E$7*(1+$A7))*(Assumptions!$E$34+Assumptions!$E$35)-Projections!$E$8*((1-Assumptions!$C$7)+Assumptions!$C$7*((1+$B$4*D$6)/(1+D$6))))-Projections!$E$9-Debt_Schedule!$E$22)*Assumptions!$C$5)-Assumptions!$C$9*((Projections!$E$7*(1+$A7))*(Assumptions!$C$6+(1-Assumptions!$C$6)*((1+$B$4*D$6)/(1+D$6))))-MAX(0,Assumptions!$C$8*(((Projections!$E$7*(1+$A7))*(Assumptions!$C$6+(1-Assumptions!$C$6)*((1+$B$4*D$6)/(1+D$6))))-(Projections!$D$7*(1+$A7)*(Assumptions!$C$6+(1-Assumptions!$C$6)*((1+$B$4*D$6)/(1+D$6)))))))/Debt_Schedule!$E$24</f>
        <v>1.53002439926262</v>
      </c>
      <c r="E7" s="35" t="n">
        <f aca="false">((((Projections!$E$7*(1+$A7))*(Assumptions!$C$6+(1-Assumptions!$C$6)*((1+$B$4*E$6)/(1+E$6))))-(Projections!$E$7*(1+$A7))*(Assumptions!$E$34+Assumptions!$E$35)-Projections!$E$8*((1-Assumptions!$C$7)+Assumptions!$C$7*((1+$B$4*E$6)/(1+E$6))))-MAX(0,((((Projections!$E$7*(1+$A7))*(Assumptions!$C$6+(1-Assumptions!$C$6)*((1+$B$4*E$6)/(1+E$6))))-(Projections!$E$7*(1+$A7))*(Assumptions!$E$34+Assumptions!$E$35)-Projections!$E$8*((1-Assumptions!$C$7)+Assumptions!$C$7*((1+$B$4*E$6)/(1+E$6))))-Projections!$E$9-Debt_Schedule!$E$22)*Assumptions!$C$5)-Assumptions!$C$9*((Projections!$E$7*(1+$A7))*(Assumptions!$C$6+(1-Assumptions!$C$6)*((1+$B$4*E$6)/(1+E$6))))-MAX(0,Assumptions!$C$8*(((Projections!$E$7*(1+$A7))*(Assumptions!$C$6+(1-Assumptions!$C$6)*((1+$B$4*E$6)/(1+E$6))))-(Projections!$D$7*(1+$A7)*(Assumptions!$C$6+(1-Assumptions!$C$6)*((1+$B$4*E$6)/(1+E$6)))))))/Debt_Schedule!$E$24</f>
        <v>1.35605519011863</v>
      </c>
      <c r="F7" s="35" t="n">
        <f aca="false">((((Projections!$E$7*(1+$A7))*(Assumptions!$C$6+(1-Assumptions!$C$6)*((1+$B$4*F$6)/(1+F$6))))-(Projections!$E$7*(1+$A7))*(Assumptions!$E$34+Assumptions!$E$35)-Projections!$E$8*((1-Assumptions!$C$7)+Assumptions!$C$7*((1+$B$4*F$6)/(1+F$6))))-MAX(0,((((Projections!$E$7*(1+$A7))*(Assumptions!$C$6+(1-Assumptions!$C$6)*((1+$B$4*F$6)/(1+F$6))))-(Projections!$E$7*(1+$A7))*(Assumptions!$E$34+Assumptions!$E$35)-Projections!$E$8*((1-Assumptions!$C$7)+Assumptions!$C$7*((1+$B$4*F$6)/(1+F$6))))-Projections!$E$9-Debt_Schedule!$E$22)*Assumptions!$C$5)-Assumptions!$C$9*((Projections!$E$7*(1+$A7))*(Assumptions!$C$6+(1-Assumptions!$C$6)*((1+$B$4*F$6)/(1+F$6))))-MAX(0,Assumptions!$C$8*(((Projections!$E$7*(1+$A7))*(Assumptions!$C$6+(1-Assumptions!$C$6)*((1+$B$4*F$6)/(1+F$6))))-(Projections!$D$7*(1+$A7)*(Assumptions!$C$6+(1-Assumptions!$C$6)*((1+$B$4*F$6)/(1+F$6)))))))/Debt_Schedule!$E$24</f>
        <v>1.22557828326064</v>
      </c>
      <c r="G7" s="35" t="n">
        <f aca="false">((((Projections!$E$7*(1+$A7))*(Assumptions!$C$6+(1-Assumptions!$C$6)*((1+$B$4*G$6)/(1+G$6))))-(Projections!$E$7*(1+$A7))*(Assumptions!$E$34+Assumptions!$E$35)-Projections!$E$8*((1-Assumptions!$C$7)+Assumptions!$C$7*((1+$B$4*G$6)/(1+G$6))))-MAX(0,((((Projections!$E$7*(1+$A7))*(Assumptions!$C$6+(1-Assumptions!$C$6)*((1+$B$4*G$6)/(1+G$6))))-(Projections!$E$7*(1+$A7))*(Assumptions!$E$34+Assumptions!$E$35)-Projections!$E$8*((1-Assumptions!$C$7)+Assumptions!$C$7*((1+$B$4*G$6)/(1+G$6))))-Projections!$E$9-Debt_Schedule!$E$22)*Assumptions!$C$5)-Assumptions!$C$9*((Projections!$E$7*(1+$A7))*(Assumptions!$C$6+(1-Assumptions!$C$6)*((1+$B$4*G$6)/(1+G$6))))-MAX(0,Assumptions!$C$8*(((Projections!$E$7*(1+$A7))*(Assumptions!$C$6+(1-Assumptions!$C$6)*((1+$B$4*G$6)/(1+G$6))))-(Projections!$D$7*(1+$A7)*(Assumptions!$C$6+(1-Assumptions!$C$6)*((1+$B$4*G$6)/(1+G$6)))))))/Debt_Schedule!$E$24</f>
        <v>1.12409624459332</v>
      </c>
    </row>
    <row r="8" customFormat="false" ht="15" hidden="false" customHeight="false" outlineLevel="0" collapsed="false">
      <c r="A8" s="43" t="n">
        <v>-0.05</v>
      </c>
      <c r="C8" s="35" t="n">
        <f aca="false">((((Projections!$E$7*(1+$A8))*(Assumptions!$C$6+(1-Assumptions!$C$6)*((1+$B$4*C$6)/(1+C$6))))-(Projections!$E$7*(1+$A8))*(Assumptions!$E$34+Assumptions!$E$35)-Projections!$E$8*((1-Assumptions!$C$7)+Assumptions!$C$7*((1+$B$4*C$6)/(1+C$6))))-MAX(0,((((Projections!$E$7*(1+$A8))*(Assumptions!$C$6+(1-Assumptions!$C$6)*((1+$B$4*C$6)/(1+C$6))))-(Projections!$E$7*(1+$A8))*(Assumptions!$E$34+Assumptions!$E$35)-Projections!$E$8*((1-Assumptions!$C$7)+Assumptions!$C$7*((1+$B$4*C$6)/(1+C$6))))-Projections!$E$9-Debt_Schedule!$E$22)*Assumptions!$C$5)-Assumptions!$C$9*((Projections!$E$7*(1+$A8))*(Assumptions!$C$6+(1-Assumptions!$C$6)*((1+$B$4*C$6)/(1+C$6))))-MAX(0,Assumptions!$C$8*(((Projections!$E$7*(1+$A8))*(Assumptions!$C$6+(1-Assumptions!$C$6)*((1+$B$4*C$6)/(1+C$6))))-(Projections!$D$7*(1+$A8)*(Assumptions!$C$6+(1-Assumptions!$C$6)*((1+$B$4*C$6)/(1+C$6)))))))/Debt_Schedule!$E$24</f>
        <v>1.65246758873072</v>
      </c>
      <c r="D8" s="35" t="n">
        <f aca="false">((((Projections!$E$7*(1+$A8))*(Assumptions!$C$6+(1-Assumptions!$C$6)*((1+$B$4*D$6)/(1+D$6))))-(Projections!$E$7*(1+$A8))*(Assumptions!$E$34+Assumptions!$E$35)-Projections!$E$8*((1-Assumptions!$C$7)+Assumptions!$C$7*((1+$B$4*D$6)/(1+D$6))))-MAX(0,((((Projections!$E$7*(1+$A8))*(Assumptions!$C$6+(1-Assumptions!$C$6)*((1+$B$4*D$6)/(1+D$6))))-(Projections!$E$7*(1+$A8))*(Assumptions!$E$34+Assumptions!$E$35)-Projections!$E$8*((1-Assumptions!$C$7)+Assumptions!$C$7*((1+$B$4*D$6)/(1+D$6))))-Projections!$E$9-Debt_Schedule!$E$22)*Assumptions!$C$5)-Assumptions!$C$9*((Projections!$E$7*(1+$A8))*(Assumptions!$C$6+(1-Assumptions!$C$6)*((1+$B$4*D$6)/(1+D$6))))-MAX(0,Assumptions!$C$8*(((Projections!$E$7*(1+$A8))*(Assumptions!$C$6+(1-Assumptions!$C$6)*((1+$B$4*D$6)/(1+D$6))))-(Projections!$D$7*(1+$A8)*(Assumptions!$C$6+(1-Assumptions!$C$6)*((1+$B$4*D$6)/(1+D$6)))))))/Debt_Schedule!$E$24</f>
        <v>1.42333837465941</v>
      </c>
      <c r="E8" s="35" t="n">
        <f aca="false">((((Projections!$E$7*(1+$A8))*(Assumptions!$C$6+(1-Assumptions!$C$6)*((1+$B$4*E$6)/(1+E$6))))-(Projections!$E$7*(1+$A8))*(Assumptions!$E$34+Assumptions!$E$35)-Projections!$E$8*((1-Assumptions!$C$7)+Assumptions!$C$7*((1+$B$4*E$6)/(1+E$6))))-MAX(0,((((Projections!$E$7*(1+$A8))*(Assumptions!$C$6+(1-Assumptions!$C$6)*((1+$B$4*E$6)/(1+E$6))))-(Projections!$E$7*(1+$A8))*(Assumptions!$E$34+Assumptions!$E$35)-Projections!$E$8*((1-Assumptions!$C$7)+Assumptions!$C$7*((1+$B$4*E$6)/(1+E$6))))-Projections!$E$9-Debt_Schedule!$E$22)*Assumptions!$C$5)-Assumptions!$C$9*((Projections!$E$7*(1+$A8))*(Assumptions!$C$6+(1-Assumptions!$C$6)*((1+$B$4*E$6)/(1+E$6))))-MAX(0,Assumptions!$C$8*(((Projections!$E$7*(1+$A8))*(Assumptions!$C$6+(1-Assumptions!$C$6)*((1+$B$4*E$6)/(1+E$6))))-(Projections!$D$7*(1+$A8)*(Assumptions!$C$6+(1-Assumptions!$C$6)*((1+$B$4*E$6)/(1+E$6)))))))/Debt_Schedule!$E$24</f>
        <v>1.25967465032276</v>
      </c>
      <c r="F8" s="35" t="n">
        <f aca="false">((((Projections!$E$7*(1+$A8))*(Assumptions!$C$6+(1-Assumptions!$C$6)*((1+$B$4*F$6)/(1+F$6))))-(Projections!$E$7*(1+$A8))*(Assumptions!$E$34+Assumptions!$E$35)-Projections!$E$8*((1-Assumptions!$C$7)+Assumptions!$C$7*((1+$B$4*F$6)/(1+F$6))))-MAX(0,((((Projections!$E$7*(1+$A8))*(Assumptions!$C$6+(1-Assumptions!$C$6)*((1+$B$4*F$6)/(1+F$6))))-(Projections!$E$7*(1+$A8))*(Assumptions!$E$34+Assumptions!$E$35)-Projections!$E$8*((1-Assumptions!$C$7)+Assumptions!$C$7*((1+$B$4*F$6)/(1+F$6))))-Projections!$E$9-Debt_Schedule!$E$22)*Assumptions!$C$5)-Assumptions!$C$9*((Projections!$E$7*(1+$A8))*(Assumptions!$C$6+(1-Assumptions!$C$6)*((1+$B$4*F$6)/(1+F$6))))-MAX(0,Assumptions!$C$8*(((Projections!$E$7*(1+$A8))*(Assumptions!$C$6+(1-Assumptions!$C$6)*((1+$B$4*F$6)/(1+F$6))))-(Projections!$D$7*(1+$A8)*(Assumptions!$C$6+(1-Assumptions!$C$6)*((1+$B$4*F$6)/(1+F$6)))))))/Debt_Schedule!$E$24</f>
        <v>1.13692685707027</v>
      </c>
      <c r="G8" s="35" t="n">
        <f aca="false">((((Projections!$E$7*(1+$A8))*(Assumptions!$C$6+(1-Assumptions!$C$6)*((1+$B$4*G$6)/(1+G$6))))-(Projections!$E$7*(1+$A8))*(Assumptions!$E$34+Assumptions!$E$35)-Projections!$E$8*((1-Assumptions!$C$7)+Assumptions!$C$7*((1+$B$4*G$6)/(1+G$6))))-MAX(0,((((Projections!$E$7*(1+$A8))*(Assumptions!$C$6+(1-Assumptions!$C$6)*((1+$B$4*G$6)/(1+G$6))))-(Projections!$E$7*(1+$A8))*(Assumptions!$E$34+Assumptions!$E$35)-Projections!$E$8*((1-Assumptions!$C$7)+Assumptions!$C$7*((1+$B$4*G$6)/(1+G$6))))-Projections!$E$9-Debt_Schedule!$E$22)*Assumptions!$C$5)-Assumptions!$C$9*((Projections!$E$7*(1+$A8))*(Assumptions!$C$6+(1-Assumptions!$C$6)*((1+$B$4*G$6)/(1+G$6))))-MAX(0,Assumptions!$C$8*(((Projections!$E$7*(1+$A8))*(Assumptions!$C$6+(1-Assumptions!$C$6)*((1+$B$4*G$6)/(1+G$6))))-(Projections!$D$7*(1+$A8)*(Assumptions!$C$6+(1-Assumptions!$C$6)*((1+$B$4*G$6)/(1+G$6)))))))/Debt_Schedule!$E$24</f>
        <v>1.04145635120723</v>
      </c>
    </row>
    <row r="9" customFormat="false" ht="15" hidden="false" customHeight="false" outlineLevel="0" collapsed="false">
      <c r="A9" s="43" t="n">
        <v>-0.1</v>
      </c>
      <c r="C9" s="35" t="n">
        <f aca="false">((((Projections!$E$7*(1+$A9))*(Assumptions!$C$6+(1-Assumptions!$C$6)*((1+$B$4*C$6)/(1+C$6))))-(Projections!$E$7*(1+$A9))*(Assumptions!$E$34+Assumptions!$E$35)-Projections!$E$8*((1-Assumptions!$C$7)+Assumptions!$C$7*((1+$B$4*C$6)/(1+C$6))))-MAX(0,((((Projections!$E$7*(1+$A9))*(Assumptions!$C$6+(1-Assumptions!$C$6)*((1+$B$4*C$6)/(1+C$6))))-(Projections!$E$7*(1+$A9))*(Assumptions!$E$34+Assumptions!$E$35)-Projections!$E$8*((1-Assumptions!$C$7)+Assumptions!$C$7*((1+$B$4*C$6)/(1+C$6))))-Projections!$E$9-Debt_Schedule!$E$22)*Assumptions!$C$5)-Assumptions!$C$9*((Projections!$E$7*(1+$A9))*(Assumptions!$C$6+(1-Assumptions!$C$6)*((1+$B$4*C$6)/(1+C$6))))-MAX(0,Assumptions!$C$8*(((Projections!$E$7*(1+$A9))*(Assumptions!$C$6+(1-Assumptions!$C$6)*((1+$B$4*C$6)/(1+C$6))))-(Projections!$D$7*(1+$A9)*(Assumptions!$C$6+(1-Assumptions!$C$6)*((1+$B$4*C$6)/(1+C$6)))))))/Debt_Schedule!$E$24</f>
        <v>1.53135388539724</v>
      </c>
      <c r="D9" s="35" t="n">
        <f aca="false">((((Projections!$E$7*(1+$A9))*(Assumptions!$C$6+(1-Assumptions!$C$6)*((1+$B$4*D$6)/(1+D$6))))-(Projections!$E$7*(1+$A9))*(Assumptions!$E$34+Assumptions!$E$35)-Projections!$E$8*((1-Assumptions!$C$7)+Assumptions!$C$7*((1+$B$4*D$6)/(1+D$6))))-MAX(0,((((Projections!$E$7*(1+$A9))*(Assumptions!$C$6+(1-Assumptions!$C$6)*((1+$B$4*D$6)/(1+D$6))))-(Projections!$E$7*(1+$A9))*(Assumptions!$E$34+Assumptions!$E$35)-Projections!$E$8*((1-Assumptions!$C$7)+Assumptions!$C$7*((1+$B$4*D$6)/(1+D$6))))-Projections!$E$9-Debt_Schedule!$E$22)*Assumptions!$C$5)-Assumptions!$C$9*((Projections!$E$7*(1+$A9))*(Assumptions!$C$6+(1-Assumptions!$C$6)*((1+$B$4*D$6)/(1+D$6))))-MAX(0,Assumptions!$C$8*(((Projections!$E$7*(1+$A9))*(Assumptions!$C$6+(1-Assumptions!$C$6)*((1+$B$4*D$6)/(1+D$6))))-(Projections!$D$7*(1+$A9)*(Assumptions!$C$6+(1-Assumptions!$C$6)*((1+$B$4*D$6)/(1+D$6)))))))/Debt_Schedule!$E$24</f>
        <v>1.3166523500562</v>
      </c>
      <c r="E9" s="35" t="n">
        <f aca="false">((((Projections!$E$7*(1+$A9))*(Assumptions!$C$6+(1-Assumptions!$C$6)*((1+$B$4*E$6)/(1+E$6))))-(Projections!$E$7*(1+$A9))*(Assumptions!$E$34+Assumptions!$E$35)-Projections!$E$8*((1-Assumptions!$C$7)+Assumptions!$C$7*((1+$B$4*E$6)/(1+E$6))))-MAX(0,((((Projections!$E$7*(1+$A9))*(Assumptions!$C$6+(1-Assumptions!$C$6)*((1+$B$4*E$6)/(1+E$6))))-(Projections!$E$7*(1+$A9))*(Assumptions!$E$34+Assumptions!$E$35)-Projections!$E$8*((1-Assumptions!$C$7)+Assumptions!$C$7*((1+$B$4*E$6)/(1+E$6))))-Projections!$E$9-Debt_Schedule!$E$22)*Assumptions!$C$5)-Assumptions!$C$9*((Projections!$E$7*(1+$A9))*(Assumptions!$C$6+(1-Assumptions!$C$6)*((1+$B$4*E$6)/(1+E$6))))-MAX(0,Assumptions!$C$8*(((Projections!$E$7*(1+$A9))*(Assumptions!$C$6+(1-Assumptions!$C$6)*((1+$B$4*E$6)/(1+E$6))))-(Projections!$D$7*(1+$A9)*(Assumptions!$C$6+(1-Assumptions!$C$6)*((1+$B$4*E$6)/(1+E$6)))))))/Debt_Schedule!$E$24</f>
        <v>1.16329411052689</v>
      </c>
      <c r="F9" s="35" t="n">
        <f aca="false">((((Projections!$E$7*(1+$A9))*(Assumptions!$C$6+(1-Assumptions!$C$6)*((1+$B$4*F$6)/(1+F$6))))-(Projections!$E$7*(1+$A9))*(Assumptions!$E$34+Assumptions!$E$35)-Projections!$E$8*((1-Assumptions!$C$7)+Assumptions!$C$7*((1+$B$4*F$6)/(1+F$6))))-MAX(0,((((Projections!$E$7*(1+$A9))*(Assumptions!$C$6+(1-Assumptions!$C$6)*((1+$B$4*F$6)/(1+F$6))))-(Projections!$E$7*(1+$A9))*(Assumptions!$E$34+Assumptions!$E$35)-Projections!$E$8*((1-Assumptions!$C$7)+Assumptions!$C$7*((1+$B$4*F$6)/(1+F$6))))-Projections!$E$9-Debt_Schedule!$E$22)*Assumptions!$C$5)-Assumptions!$C$9*((Projections!$E$7*(1+$A9))*(Assumptions!$C$6+(1-Assumptions!$C$6)*((1+$B$4*F$6)/(1+F$6))))-MAX(0,Assumptions!$C$8*(((Projections!$E$7*(1+$A9))*(Assumptions!$C$6+(1-Assumptions!$C$6)*((1+$B$4*F$6)/(1+F$6))))-(Projections!$D$7*(1+$A9)*(Assumptions!$C$6+(1-Assumptions!$C$6)*((1+$B$4*F$6)/(1+F$6)))))))/Debt_Schedule!$E$24</f>
        <v>1.04827543087991</v>
      </c>
      <c r="G9" s="35" t="n">
        <f aca="false">((((Projections!$E$7*(1+$A9))*(Assumptions!$C$6+(1-Assumptions!$C$6)*((1+$B$4*G$6)/(1+G$6))))-(Projections!$E$7*(1+$A9))*(Assumptions!$E$34+Assumptions!$E$35)-Projections!$E$8*((1-Assumptions!$C$7)+Assumptions!$C$7*((1+$B$4*G$6)/(1+G$6))))-MAX(0,((((Projections!$E$7*(1+$A9))*(Assumptions!$C$6+(1-Assumptions!$C$6)*((1+$B$4*G$6)/(1+G$6))))-(Projections!$E$7*(1+$A9))*(Assumptions!$E$34+Assumptions!$E$35)-Projections!$E$8*((1-Assumptions!$C$7)+Assumptions!$C$7*((1+$B$4*G$6)/(1+G$6))))-Projections!$E$9-Debt_Schedule!$E$22)*Assumptions!$C$5)-Assumptions!$C$9*((Projections!$E$7*(1+$A9))*(Assumptions!$C$6+(1-Assumptions!$C$6)*((1+$B$4*G$6)/(1+G$6))))-MAX(0,Assumptions!$C$8*(((Projections!$E$7*(1+$A9))*(Assumptions!$C$6+(1-Assumptions!$C$6)*((1+$B$4*G$6)/(1+G$6))))-(Projections!$D$7*(1+$A9)*(Assumptions!$C$6+(1-Assumptions!$C$6)*((1+$B$4*G$6)/(1+G$6)))))))/Debt_Schedule!$E$24</f>
        <v>0.958816457821141</v>
      </c>
    </row>
    <row r="10" customFormat="false" ht="15" hidden="false" customHeight="false" outlineLevel="0" collapsed="false">
      <c r="A10" s="43" t="n">
        <v>-0.15</v>
      </c>
      <c r="C10" s="35" t="n">
        <f aca="false">((((Projections!$E$7*(1+$A10))*(Assumptions!$C$6+(1-Assumptions!$C$6)*((1+$B$4*C$6)/(1+C$6))))-(Projections!$E$7*(1+$A10))*(Assumptions!$E$34+Assumptions!$E$35)-Projections!$E$8*((1-Assumptions!$C$7)+Assumptions!$C$7*((1+$B$4*C$6)/(1+C$6))))-MAX(0,((((Projections!$E$7*(1+$A10))*(Assumptions!$C$6+(1-Assumptions!$C$6)*((1+$B$4*C$6)/(1+C$6))))-(Projections!$E$7*(1+$A10))*(Assumptions!$E$34+Assumptions!$E$35)-Projections!$E$8*((1-Assumptions!$C$7)+Assumptions!$C$7*((1+$B$4*C$6)/(1+C$6))))-Projections!$E$9-Debt_Schedule!$E$22)*Assumptions!$C$5)-Assumptions!$C$9*((Projections!$E$7*(1+$A10))*(Assumptions!$C$6+(1-Assumptions!$C$6)*((1+$B$4*C$6)/(1+C$6))))-MAX(0,Assumptions!$C$8*(((Projections!$E$7*(1+$A10))*(Assumptions!$C$6+(1-Assumptions!$C$6)*((1+$B$4*C$6)/(1+C$6))))-(Projections!$D$7*(1+$A10)*(Assumptions!$C$6+(1-Assumptions!$C$6)*((1+$B$4*C$6)/(1+C$6)))))))/Debt_Schedule!$E$24</f>
        <v>1.41024018206376</v>
      </c>
      <c r="D10" s="35" t="n">
        <f aca="false">((((Projections!$E$7*(1+$A10))*(Assumptions!$C$6+(1-Assumptions!$C$6)*((1+$B$4*D$6)/(1+D$6))))-(Projections!$E$7*(1+$A10))*(Assumptions!$E$34+Assumptions!$E$35)-Projections!$E$8*((1-Assumptions!$C$7)+Assumptions!$C$7*((1+$B$4*D$6)/(1+D$6))))-MAX(0,((((Projections!$E$7*(1+$A10))*(Assumptions!$C$6+(1-Assumptions!$C$6)*((1+$B$4*D$6)/(1+D$6))))-(Projections!$E$7*(1+$A10))*(Assumptions!$E$34+Assumptions!$E$35)-Projections!$E$8*((1-Assumptions!$C$7)+Assumptions!$C$7*((1+$B$4*D$6)/(1+D$6))))-Projections!$E$9-Debt_Schedule!$E$22)*Assumptions!$C$5)-Assumptions!$C$9*((Projections!$E$7*(1+$A10))*(Assumptions!$C$6+(1-Assumptions!$C$6)*((1+$B$4*D$6)/(1+D$6))))-MAX(0,Assumptions!$C$8*(((Projections!$E$7*(1+$A10))*(Assumptions!$C$6+(1-Assumptions!$C$6)*((1+$B$4*D$6)/(1+D$6))))-(Projections!$D$7*(1+$A10)*(Assumptions!$C$6+(1-Assumptions!$C$6)*((1+$B$4*D$6)/(1+D$6)))))))/Debt_Schedule!$E$24</f>
        <v>1.20996632545299</v>
      </c>
      <c r="E10" s="35" t="n">
        <f aca="false">((((Projections!$E$7*(1+$A10))*(Assumptions!$C$6+(1-Assumptions!$C$6)*((1+$B$4*E$6)/(1+E$6))))-(Projections!$E$7*(1+$A10))*(Assumptions!$E$34+Assumptions!$E$35)-Projections!$E$8*((1-Assumptions!$C$7)+Assumptions!$C$7*((1+$B$4*E$6)/(1+E$6))))-MAX(0,((((Projections!$E$7*(1+$A10))*(Assumptions!$C$6+(1-Assumptions!$C$6)*((1+$B$4*E$6)/(1+E$6))))-(Projections!$E$7*(1+$A10))*(Assumptions!$E$34+Assumptions!$E$35)-Projections!$E$8*((1-Assumptions!$C$7)+Assumptions!$C$7*((1+$B$4*E$6)/(1+E$6))))-Projections!$E$9-Debt_Schedule!$E$22)*Assumptions!$C$5)-Assumptions!$C$9*((Projections!$E$7*(1+$A10))*(Assumptions!$C$6+(1-Assumptions!$C$6)*((1+$B$4*E$6)/(1+E$6))))-MAX(0,Assumptions!$C$8*(((Projections!$E$7*(1+$A10))*(Assumptions!$C$6+(1-Assumptions!$C$6)*((1+$B$4*E$6)/(1+E$6))))-(Projections!$D$7*(1+$A10)*(Assumptions!$C$6+(1-Assumptions!$C$6)*((1+$B$4*E$6)/(1+E$6)))))))/Debt_Schedule!$E$24</f>
        <v>1.06691357073102</v>
      </c>
      <c r="F10" s="35" t="n">
        <f aca="false">((((Projections!$E$7*(1+$A10))*(Assumptions!$C$6+(1-Assumptions!$C$6)*((1+$B$4*F$6)/(1+F$6))))-(Projections!$E$7*(1+$A10))*(Assumptions!$E$34+Assumptions!$E$35)-Projections!$E$8*((1-Assumptions!$C$7)+Assumptions!$C$7*((1+$B$4*F$6)/(1+F$6))))-MAX(0,((((Projections!$E$7*(1+$A10))*(Assumptions!$C$6+(1-Assumptions!$C$6)*((1+$B$4*F$6)/(1+F$6))))-(Projections!$E$7*(1+$A10))*(Assumptions!$E$34+Assumptions!$E$35)-Projections!$E$8*((1-Assumptions!$C$7)+Assumptions!$C$7*((1+$B$4*F$6)/(1+F$6))))-Projections!$E$9-Debt_Schedule!$E$22)*Assumptions!$C$5)-Assumptions!$C$9*((Projections!$E$7*(1+$A10))*(Assumptions!$C$6+(1-Assumptions!$C$6)*((1+$B$4*F$6)/(1+F$6))))-MAX(0,Assumptions!$C$8*(((Projections!$E$7*(1+$A10))*(Assumptions!$C$6+(1-Assumptions!$C$6)*((1+$B$4*F$6)/(1+F$6))))-(Projections!$D$7*(1+$A10)*(Assumptions!$C$6+(1-Assumptions!$C$6)*((1+$B$4*F$6)/(1+F$6)))))))/Debt_Schedule!$E$24</f>
        <v>0.959624004689537</v>
      </c>
      <c r="G10" s="35" t="n">
        <f aca="false">((((Projections!$E$7*(1+$A10))*(Assumptions!$C$6+(1-Assumptions!$C$6)*((1+$B$4*G$6)/(1+G$6))))-(Projections!$E$7*(1+$A10))*(Assumptions!$E$34+Assumptions!$E$35)-Projections!$E$8*((1-Assumptions!$C$7)+Assumptions!$C$7*((1+$B$4*G$6)/(1+G$6))))-MAX(0,((((Projections!$E$7*(1+$A10))*(Assumptions!$C$6+(1-Assumptions!$C$6)*((1+$B$4*G$6)/(1+G$6))))-(Projections!$E$7*(1+$A10))*(Assumptions!$E$34+Assumptions!$E$35)-Projections!$E$8*((1-Assumptions!$C$7)+Assumptions!$C$7*((1+$B$4*G$6)/(1+G$6))))-Projections!$E$9-Debt_Schedule!$E$22)*Assumptions!$C$5)-Assumptions!$C$9*((Projections!$E$7*(1+$A10))*(Assumptions!$C$6+(1-Assumptions!$C$6)*((1+$B$4*G$6)/(1+G$6))))-MAX(0,Assumptions!$C$8*(((Projections!$E$7*(1+$A10))*(Assumptions!$C$6+(1-Assumptions!$C$6)*((1+$B$4*G$6)/(1+G$6))))-(Projections!$D$7*(1+$A10)*(Assumptions!$C$6+(1-Assumptions!$C$6)*((1+$B$4*G$6)/(1+G$6)))))))/Debt_Schedule!$E$24</f>
        <v>0.876176564435052</v>
      </c>
    </row>
    <row r="11" customFormat="false" ht="15" hidden="false" customHeight="false" outlineLevel="0" collapsed="false">
      <c r="A11" s="43" t="n">
        <v>-0.2</v>
      </c>
      <c r="C11" s="35" t="n">
        <f aca="false">((((Projections!$E$7*(1+$A11))*(Assumptions!$C$6+(1-Assumptions!$C$6)*((1+$B$4*C$6)/(1+C$6))))-(Projections!$E$7*(1+$A11))*(Assumptions!$E$34+Assumptions!$E$35)-Projections!$E$8*((1-Assumptions!$C$7)+Assumptions!$C$7*((1+$B$4*C$6)/(1+C$6))))-MAX(0,((((Projections!$E$7*(1+$A11))*(Assumptions!$C$6+(1-Assumptions!$C$6)*((1+$B$4*C$6)/(1+C$6))))-(Projections!$E$7*(1+$A11))*(Assumptions!$E$34+Assumptions!$E$35)-Projections!$E$8*((1-Assumptions!$C$7)+Assumptions!$C$7*((1+$B$4*C$6)/(1+C$6))))-Projections!$E$9-Debt_Schedule!$E$22)*Assumptions!$C$5)-Assumptions!$C$9*((Projections!$E$7*(1+$A11))*(Assumptions!$C$6+(1-Assumptions!$C$6)*((1+$B$4*C$6)/(1+C$6))))-MAX(0,Assumptions!$C$8*(((Projections!$E$7*(1+$A11))*(Assumptions!$C$6+(1-Assumptions!$C$6)*((1+$B$4*C$6)/(1+C$6))))-(Projections!$D$7*(1+$A11)*(Assumptions!$C$6+(1-Assumptions!$C$6)*((1+$B$4*C$6)/(1+C$6)))))))/Debt_Schedule!$E$24</f>
        <v>1.28912647873027</v>
      </c>
      <c r="D11" s="35" t="n">
        <f aca="false">((((Projections!$E$7*(1+$A11))*(Assumptions!$C$6+(1-Assumptions!$C$6)*((1+$B$4*D$6)/(1+D$6))))-(Projections!$E$7*(1+$A11))*(Assumptions!$E$34+Assumptions!$E$35)-Projections!$E$8*((1-Assumptions!$C$7)+Assumptions!$C$7*((1+$B$4*D$6)/(1+D$6))))-MAX(0,((((Projections!$E$7*(1+$A11))*(Assumptions!$C$6+(1-Assumptions!$C$6)*((1+$B$4*D$6)/(1+D$6))))-(Projections!$E$7*(1+$A11))*(Assumptions!$E$34+Assumptions!$E$35)-Projections!$E$8*((1-Assumptions!$C$7)+Assumptions!$C$7*((1+$B$4*D$6)/(1+D$6))))-Projections!$E$9-Debt_Schedule!$E$22)*Assumptions!$C$5)-Assumptions!$C$9*((Projections!$E$7*(1+$A11))*(Assumptions!$C$6+(1-Assumptions!$C$6)*((1+$B$4*D$6)/(1+D$6))))-MAX(0,Assumptions!$C$8*(((Projections!$E$7*(1+$A11))*(Assumptions!$C$6+(1-Assumptions!$C$6)*((1+$B$4*D$6)/(1+D$6))))-(Projections!$D$7*(1+$A11)*(Assumptions!$C$6+(1-Assumptions!$C$6)*((1+$B$4*D$6)/(1+D$6)))))))/Debt_Schedule!$E$24</f>
        <v>1.10328030084978</v>
      </c>
      <c r="E11" s="35" t="n">
        <f aca="false">((((Projections!$E$7*(1+$A11))*(Assumptions!$C$6+(1-Assumptions!$C$6)*((1+$B$4*E$6)/(1+E$6))))-(Projections!$E$7*(1+$A11))*(Assumptions!$E$34+Assumptions!$E$35)-Projections!$E$8*((1-Assumptions!$C$7)+Assumptions!$C$7*((1+$B$4*E$6)/(1+E$6))))-MAX(0,((((Projections!$E$7*(1+$A11))*(Assumptions!$C$6+(1-Assumptions!$C$6)*((1+$B$4*E$6)/(1+E$6))))-(Projections!$E$7*(1+$A11))*(Assumptions!$E$34+Assumptions!$E$35)-Projections!$E$8*((1-Assumptions!$C$7)+Assumptions!$C$7*((1+$B$4*E$6)/(1+E$6))))-Projections!$E$9-Debt_Schedule!$E$22)*Assumptions!$C$5)-Assumptions!$C$9*((Projections!$E$7*(1+$A11))*(Assumptions!$C$6+(1-Assumptions!$C$6)*((1+$B$4*E$6)/(1+E$6))))-MAX(0,Assumptions!$C$8*(((Projections!$E$7*(1+$A11))*(Assumptions!$C$6+(1-Assumptions!$C$6)*((1+$B$4*E$6)/(1+E$6))))-(Projections!$D$7*(1+$A11)*(Assumptions!$C$6+(1-Assumptions!$C$6)*((1+$B$4*E$6)/(1+E$6)))))))/Debt_Schedule!$E$24</f>
        <v>0.970533030935145</v>
      </c>
      <c r="F11" s="35" t="n">
        <f aca="false">((((Projections!$E$7*(1+$A11))*(Assumptions!$C$6+(1-Assumptions!$C$6)*((1+$B$4*F$6)/(1+F$6))))-(Projections!$E$7*(1+$A11))*(Assumptions!$E$34+Assumptions!$E$35)-Projections!$E$8*((1-Assumptions!$C$7)+Assumptions!$C$7*((1+$B$4*F$6)/(1+F$6))))-MAX(0,((((Projections!$E$7*(1+$A11))*(Assumptions!$C$6+(1-Assumptions!$C$6)*((1+$B$4*F$6)/(1+F$6))))-(Projections!$E$7*(1+$A11))*(Assumptions!$E$34+Assumptions!$E$35)-Projections!$E$8*((1-Assumptions!$C$7)+Assumptions!$C$7*((1+$B$4*F$6)/(1+F$6))))-Projections!$E$9-Debt_Schedule!$E$22)*Assumptions!$C$5)-Assumptions!$C$9*((Projections!$E$7*(1+$A11))*(Assumptions!$C$6+(1-Assumptions!$C$6)*((1+$B$4*F$6)/(1+F$6))))-MAX(0,Assumptions!$C$8*(((Projections!$E$7*(1+$A11))*(Assumptions!$C$6+(1-Assumptions!$C$6)*((1+$B$4*F$6)/(1+F$6))))-(Projections!$D$7*(1+$A11)*(Assumptions!$C$6+(1-Assumptions!$C$6)*((1+$B$4*F$6)/(1+F$6)))))))/Debt_Schedule!$E$24</f>
        <v>0.870972578499168</v>
      </c>
      <c r="G11" s="35" t="n">
        <f aca="false">((((Projections!$E$7*(1+$A11))*(Assumptions!$C$6+(1-Assumptions!$C$6)*((1+$B$4*G$6)/(1+G$6))))-(Projections!$E$7*(1+$A11))*(Assumptions!$E$34+Assumptions!$E$35)-Projections!$E$8*((1-Assumptions!$C$7)+Assumptions!$C$7*((1+$B$4*G$6)/(1+G$6))))-MAX(0,((((Projections!$E$7*(1+$A11))*(Assumptions!$C$6+(1-Assumptions!$C$6)*((1+$B$4*G$6)/(1+G$6))))-(Projections!$E$7*(1+$A11))*(Assumptions!$E$34+Assumptions!$E$35)-Projections!$E$8*((1-Assumptions!$C$7)+Assumptions!$C$7*((1+$B$4*G$6)/(1+G$6))))-Projections!$E$9-Debt_Schedule!$E$22)*Assumptions!$C$5)-Assumptions!$C$9*((Projections!$E$7*(1+$A11))*(Assumptions!$C$6+(1-Assumptions!$C$6)*((1+$B$4*G$6)/(1+G$6))))-MAX(0,Assumptions!$C$8*(((Projections!$E$7*(1+$A11))*(Assumptions!$C$6+(1-Assumptions!$C$6)*((1+$B$4*G$6)/(1+G$6))))-(Projections!$D$7*(1+$A11)*(Assumptions!$C$6+(1-Assumptions!$C$6)*((1+$B$4*G$6)/(1+G$6)))))))/Debt_Schedule!$E$24</f>
        <v>0.793536671048963</v>
      </c>
    </row>
    <row r="12" customFormat="false" ht="15" hidden="false" customHeight="false" outlineLevel="0" collapsed="false">
      <c r="A12" s="43" t="n">
        <v>-0.25</v>
      </c>
      <c r="C12" s="35" t="n">
        <f aca="false">((((Projections!$E$7*(1+$A12))*(Assumptions!$C$6+(1-Assumptions!$C$6)*((1+$B$4*C$6)/(1+C$6))))-(Projections!$E$7*(1+$A12))*(Assumptions!$E$34+Assumptions!$E$35)-Projections!$E$8*((1-Assumptions!$C$7)+Assumptions!$C$7*((1+$B$4*C$6)/(1+C$6))))-MAX(0,((((Projections!$E$7*(1+$A12))*(Assumptions!$C$6+(1-Assumptions!$C$6)*((1+$B$4*C$6)/(1+C$6))))-(Projections!$E$7*(1+$A12))*(Assumptions!$E$34+Assumptions!$E$35)-Projections!$E$8*((1-Assumptions!$C$7)+Assumptions!$C$7*((1+$B$4*C$6)/(1+C$6))))-Projections!$E$9-Debt_Schedule!$E$22)*Assumptions!$C$5)-Assumptions!$C$9*((Projections!$E$7*(1+$A12))*(Assumptions!$C$6+(1-Assumptions!$C$6)*((1+$B$4*C$6)/(1+C$6))))-MAX(0,Assumptions!$C$8*(((Projections!$E$7*(1+$A12))*(Assumptions!$C$6+(1-Assumptions!$C$6)*((1+$B$4*C$6)/(1+C$6))))-(Projections!$D$7*(1+$A12)*(Assumptions!$C$6+(1-Assumptions!$C$6)*((1+$B$4*C$6)/(1+C$6)))))))/Debt_Schedule!$E$24</f>
        <v>1.16801277539679</v>
      </c>
      <c r="D12" s="35" t="n">
        <f aca="false">((((Projections!$E$7*(1+$A12))*(Assumptions!$C$6+(1-Assumptions!$C$6)*((1+$B$4*D$6)/(1+D$6))))-(Projections!$E$7*(1+$A12))*(Assumptions!$E$34+Assumptions!$E$35)-Projections!$E$8*((1-Assumptions!$C$7)+Assumptions!$C$7*((1+$B$4*D$6)/(1+D$6))))-MAX(0,((((Projections!$E$7*(1+$A12))*(Assumptions!$C$6+(1-Assumptions!$C$6)*((1+$B$4*D$6)/(1+D$6))))-(Projections!$E$7*(1+$A12))*(Assumptions!$E$34+Assumptions!$E$35)-Projections!$E$8*((1-Assumptions!$C$7)+Assumptions!$C$7*((1+$B$4*D$6)/(1+D$6))))-Projections!$E$9-Debt_Schedule!$E$22)*Assumptions!$C$5)-Assumptions!$C$9*((Projections!$E$7*(1+$A12))*(Assumptions!$C$6+(1-Assumptions!$C$6)*((1+$B$4*D$6)/(1+D$6))))-MAX(0,Assumptions!$C$8*(((Projections!$E$7*(1+$A12))*(Assumptions!$C$6+(1-Assumptions!$C$6)*((1+$B$4*D$6)/(1+D$6))))-(Projections!$D$7*(1+$A12)*(Assumptions!$C$6+(1-Assumptions!$C$6)*((1+$B$4*D$6)/(1+D$6)))))))/Debt_Schedule!$E$24</f>
        <v>0.996594276246571</v>
      </c>
      <c r="E12" s="35" t="n">
        <f aca="false">((((Projections!$E$7*(1+$A12))*(Assumptions!$C$6+(1-Assumptions!$C$6)*((1+$B$4*E$6)/(1+E$6))))-(Projections!$E$7*(1+$A12))*(Assumptions!$E$34+Assumptions!$E$35)-Projections!$E$8*((1-Assumptions!$C$7)+Assumptions!$C$7*((1+$B$4*E$6)/(1+E$6))))-MAX(0,((((Projections!$E$7*(1+$A12))*(Assumptions!$C$6+(1-Assumptions!$C$6)*((1+$B$4*E$6)/(1+E$6))))-(Projections!$E$7*(1+$A12))*(Assumptions!$E$34+Assumptions!$E$35)-Projections!$E$8*((1-Assumptions!$C$7)+Assumptions!$C$7*((1+$B$4*E$6)/(1+E$6))))-Projections!$E$9-Debt_Schedule!$E$22)*Assumptions!$C$5)-Assumptions!$C$9*((Projections!$E$7*(1+$A12))*(Assumptions!$C$6+(1-Assumptions!$C$6)*((1+$B$4*E$6)/(1+E$6))))-MAX(0,Assumptions!$C$8*(((Projections!$E$7*(1+$A12))*(Assumptions!$C$6+(1-Assumptions!$C$6)*((1+$B$4*E$6)/(1+E$6))))-(Projections!$D$7*(1+$A12)*(Assumptions!$C$6+(1-Assumptions!$C$6)*((1+$B$4*E$6)/(1+E$6)))))))/Debt_Schedule!$E$24</f>
        <v>0.874152491139273</v>
      </c>
      <c r="F12" s="35" t="n">
        <f aca="false">((((Projections!$E$7*(1+$A12))*(Assumptions!$C$6+(1-Assumptions!$C$6)*((1+$B$4*F$6)/(1+F$6))))-(Projections!$E$7*(1+$A12))*(Assumptions!$E$34+Assumptions!$E$35)-Projections!$E$8*((1-Assumptions!$C$7)+Assumptions!$C$7*((1+$B$4*F$6)/(1+F$6))))-MAX(0,((((Projections!$E$7*(1+$A12))*(Assumptions!$C$6+(1-Assumptions!$C$6)*((1+$B$4*F$6)/(1+F$6))))-(Projections!$E$7*(1+$A12))*(Assumptions!$E$34+Assumptions!$E$35)-Projections!$E$8*((1-Assumptions!$C$7)+Assumptions!$C$7*((1+$B$4*F$6)/(1+F$6))))-Projections!$E$9-Debt_Schedule!$E$22)*Assumptions!$C$5)-Assumptions!$C$9*((Projections!$E$7*(1+$A12))*(Assumptions!$C$6+(1-Assumptions!$C$6)*((1+$B$4*F$6)/(1+F$6))))-MAX(0,Assumptions!$C$8*(((Projections!$E$7*(1+$A12))*(Assumptions!$C$6+(1-Assumptions!$C$6)*((1+$B$4*F$6)/(1+F$6))))-(Projections!$D$7*(1+$A12)*(Assumptions!$C$6+(1-Assumptions!$C$6)*((1+$B$4*F$6)/(1+F$6)))))))/Debt_Schedule!$E$24</f>
        <v>0.782321152308799</v>
      </c>
      <c r="G12" s="35" t="n">
        <f aca="false">((((Projections!$E$7*(1+$A12))*(Assumptions!$C$6+(1-Assumptions!$C$6)*((1+$B$4*G$6)/(1+G$6))))-(Projections!$E$7*(1+$A12))*(Assumptions!$E$34+Assumptions!$E$35)-Projections!$E$8*((1-Assumptions!$C$7)+Assumptions!$C$7*((1+$B$4*G$6)/(1+G$6))))-MAX(0,((((Projections!$E$7*(1+$A12))*(Assumptions!$C$6+(1-Assumptions!$C$6)*((1+$B$4*G$6)/(1+G$6))))-(Projections!$E$7*(1+$A12))*(Assumptions!$E$34+Assumptions!$E$35)-Projections!$E$8*((1-Assumptions!$C$7)+Assumptions!$C$7*((1+$B$4*G$6)/(1+G$6))))-Projections!$E$9-Debt_Schedule!$E$22)*Assumptions!$C$5)-Assumptions!$C$9*((Projections!$E$7*(1+$A12))*(Assumptions!$C$6+(1-Assumptions!$C$6)*((1+$B$4*G$6)/(1+G$6))))-MAX(0,Assumptions!$C$8*(((Projections!$E$7*(1+$A12))*(Assumptions!$C$6+(1-Assumptions!$C$6)*((1+$B$4*G$6)/(1+G$6))))-(Projections!$D$7*(1+$A12)*(Assumptions!$C$6+(1-Assumptions!$C$6)*((1+$B$4*G$6)/(1+G$6)))))))/Debt_Schedule!$E$24</f>
        <v>0.710896777662874</v>
      </c>
    </row>
    <row r="13" customFormat="false" ht="15" hidden="false" customHeight="false" outlineLevel="0" collapsed="false">
      <c r="A13" s="43" t="n">
        <v>-0.3</v>
      </c>
      <c r="C13" s="35" t="n">
        <f aca="false">((((Projections!$E$7*(1+$A13))*(Assumptions!$C$6+(1-Assumptions!$C$6)*((1+$B$4*C$6)/(1+C$6))))-(Projections!$E$7*(1+$A13))*(Assumptions!$E$34+Assumptions!$E$35)-Projections!$E$8*((1-Assumptions!$C$7)+Assumptions!$C$7*((1+$B$4*C$6)/(1+C$6))))-MAX(0,((((Projections!$E$7*(1+$A13))*(Assumptions!$C$6+(1-Assumptions!$C$6)*((1+$B$4*C$6)/(1+C$6))))-(Projections!$E$7*(1+$A13))*(Assumptions!$E$34+Assumptions!$E$35)-Projections!$E$8*((1-Assumptions!$C$7)+Assumptions!$C$7*((1+$B$4*C$6)/(1+C$6))))-Projections!$E$9-Debt_Schedule!$E$22)*Assumptions!$C$5)-Assumptions!$C$9*((Projections!$E$7*(1+$A13))*(Assumptions!$C$6+(1-Assumptions!$C$6)*((1+$B$4*C$6)/(1+C$6))))-MAX(0,Assumptions!$C$8*(((Projections!$E$7*(1+$A13))*(Assumptions!$C$6+(1-Assumptions!$C$6)*((1+$B$4*C$6)/(1+C$6))))-(Projections!$D$7*(1+$A13)*(Assumptions!$C$6+(1-Assumptions!$C$6)*((1+$B$4*C$6)/(1+C$6)))))))/Debt_Schedule!$E$24</f>
        <v>1.04689907206331</v>
      </c>
      <c r="D13" s="35" t="n">
        <f aca="false">((((Projections!$E$7*(1+$A13))*(Assumptions!$C$6+(1-Assumptions!$C$6)*((1+$B$4*D$6)/(1+D$6))))-(Projections!$E$7*(1+$A13))*(Assumptions!$E$34+Assumptions!$E$35)-Projections!$E$8*((1-Assumptions!$C$7)+Assumptions!$C$7*((1+$B$4*D$6)/(1+D$6))))-MAX(0,((((Projections!$E$7*(1+$A13))*(Assumptions!$C$6+(1-Assumptions!$C$6)*((1+$B$4*D$6)/(1+D$6))))-(Projections!$E$7*(1+$A13))*(Assumptions!$E$34+Assumptions!$E$35)-Projections!$E$8*((1-Assumptions!$C$7)+Assumptions!$C$7*((1+$B$4*D$6)/(1+D$6))))-Projections!$E$9-Debt_Schedule!$E$22)*Assumptions!$C$5)-Assumptions!$C$9*((Projections!$E$7*(1+$A13))*(Assumptions!$C$6+(1-Assumptions!$C$6)*((1+$B$4*D$6)/(1+D$6))))-MAX(0,Assumptions!$C$8*(((Projections!$E$7*(1+$A13))*(Assumptions!$C$6+(1-Assumptions!$C$6)*((1+$B$4*D$6)/(1+D$6))))-(Projections!$D$7*(1+$A13)*(Assumptions!$C$6+(1-Assumptions!$C$6)*((1+$B$4*D$6)/(1+D$6)))))))/Debt_Schedule!$E$24</f>
        <v>0.889908251643362</v>
      </c>
      <c r="E13" s="35" t="n">
        <f aca="false">((((Projections!$E$7*(1+$A13))*(Assumptions!$C$6+(1-Assumptions!$C$6)*((1+$B$4*E$6)/(1+E$6))))-(Projections!$E$7*(1+$A13))*(Assumptions!$E$34+Assumptions!$E$35)-Projections!$E$8*((1-Assumptions!$C$7)+Assumptions!$C$7*((1+$B$4*E$6)/(1+E$6))))-MAX(0,((((Projections!$E$7*(1+$A13))*(Assumptions!$C$6+(1-Assumptions!$C$6)*((1+$B$4*E$6)/(1+E$6))))-(Projections!$E$7*(1+$A13))*(Assumptions!$E$34+Assumptions!$E$35)-Projections!$E$8*((1-Assumptions!$C$7)+Assumptions!$C$7*((1+$B$4*E$6)/(1+E$6))))-Projections!$E$9-Debt_Schedule!$E$22)*Assumptions!$C$5)-Assumptions!$C$9*((Projections!$E$7*(1+$A13))*(Assumptions!$C$6+(1-Assumptions!$C$6)*((1+$B$4*E$6)/(1+E$6))))-MAX(0,Assumptions!$C$8*(((Projections!$E$7*(1+$A13))*(Assumptions!$C$6+(1-Assumptions!$C$6)*((1+$B$4*E$6)/(1+E$6))))-(Projections!$D$7*(1+$A13)*(Assumptions!$C$6+(1-Assumptions!$C$6)*((1+$B$4*E$6)/(1+E$6)))))))/Debt_Schedule!$E$24</f>
        <v>0.7777719513434</v>
      </c>
      <c r="F13" s="35" t="n">
        <f aca="false">((((Projections!$E$7*(1+$A13))*(Assumptions!$C$6+(1-Assumptions!$C$6)*((1+$B$4*F$6)/(1+F$6))))-(Projections!$E$7*(1+$A13))*(Assumptions!$E$34+Assumptions!$E$35)-Projections!$E$8*((1-Assumptions!$C$7)+Assumptions!$C$7*((1+$B$4*F$6)/(1+F$6))))-MAX(0,((((Projections!$E$7*(1+$A13))*(Assumptions!$C$6+(1-Assumptions!$C$6)*((1+$B$4*F$6)/(1+F$6))))-(Projections!$E$7*(1+$A13))*(Assumptions!$E$34+Assumptions!$E$35)-Projections!$E$8*((1-Assumptions!$C$7)+Assumptions!$C$7*((1+$B$4*F$6)/(1+F$6))))-Projections!$E$9-Debt_Schedule!$E$22)*Assumptions!$C$5)-Assumptions!$C$9*((Projections!$E$7*(1+$A13))*(Assumptions!$C$6+(1-Assumptions!$C$6)*((1+$B$4*F$6)/(1+F$6))))-MAX(0,Assumptions!$C$8*(((Projections!$E$7*(1+$A13))*(Assumptions!$C$6+(1-Assumptions!$C$6)*((1+$B$4*F$6)/(1+F$6))))-(Projections!$D$7*(1+$A13)*(Assumptions!$C$6+(1-Assumptions!$C$6)*((1+$B$4*F$6)/(1+F$6)))))))/Debt_Schedule!$E$24</f>
        <v>0.69366972611843</v>
      </c>
      <c r="G13" s="35" t="n">
        <f aca="false">((((Projections!$E$7*(1+$A13))*(Assumptions!$C$6+(1-Assumptions!$C$6)*((1+$B$4*G$6)/(1+G$6))))-(Projections!$E$7*(1+$A13))*(Assumptions!$E$34+Assumptions!$E$35)-Projections!$E$8*((1-Assumptions!$C$7)+Assumptions!$C$7*((1+$B$4*G$6)/(1+G$6))))-MAX(0,((((Projections!$E$7*(1+$A13))*(Assumptions!$C$6+(1-Assumptions!$C$6)*((1+$B$4*G$6)/(1+G$6))))-(Projections!$E$7*(1+$A13))*(Assumptions!$E$34+Assumptions!$E$35)-Projections!$E$8*((1-Assumptions!$C$7)+Assumptions!$C$7*((1+$B$4*G$6)/(1+G$6))))-Projections!$E$9-Debt_Schedule!$E$22)*Assumptions!$C$5)-Assumptions!$C$9*((Projections!$E$7*(1+$A13))*(Assumptions!$C$6+(1-Assumptions!$C$6)*((1+$B$4*G$6)/(1+G$6))))-MAX(0,Assumptions!$C$8*(((Projections!$E$7*(1+$A13))*(Assumptions!$C$6+(1-Assumptions!$C$6)*((1+$B$4*G$6)/(1+G$6))))-(Projections!$D$7*(1+$A13)*(Assumptions!$C$6+(1-Assumptions!$C$6)*((1+$B$4*G$6)/(1+G$6)))))))/Debt_Schedule!$E$24</f>
        <v>0.628256884276786</v>
      </c>
    </row>
    <row r="15" customFormat="false" ht="15" hidden="false" customHeight="false" outlineLevel="0" collapsed="false">
      <c r="A15" s="6" t="s">
        <v>334</v>
      </c>
      <c r="C15" s="15" t="n">
        <f aca="false">Projections!E30</f>
        <v>1.77358129206421</v>
      </c>
    </row>
    <row r="16" customFormat="false" ht="15" hidden="false" customHeight="false" outlineLevel="0" collapsed="false">
      <c r="A16" s="6" t="s">
        <v>335</v>
      </c>
      <c r="C16" s="35" t="n">
        <f aca="false">C7</f>
        <v>1.77358129206421</v>
      </c>
    </row>
    <row r="17" customFormat="false" ht="15" hidden="false" customHeight="false" outlineLevel="0" collapsed="false">
      <c r="A17" s="9" t="s">
        <v>336</v>
      </c>
      <c r="C17" s="15" t="n">
        <f aca="false">Assumptions!$C$51</f>
        <v>1.25</v>
      </c>
    </row>
    <row r="18" customFormat="false" ht="15" hidden="false" customHeight="false" outlineLevel="0" collapsed="false">
      <c r="A18" s="9" t="s">
        <v>337</v>
      </c>
      <c r="C18" s="37" t="n">
        <f aca="false">COUNTIF(C7:G13,"&lt;"&amp;Assumptions!$C$51)</f>
        <v>25</v>
      </c>
    </row>
    <row r="19" customFormat="false" ht="15" hidden="false" customHeight="false" outlineLevel="0" collapsed="false">
      <c r="A19" s="9" t="s">
        <v>338</v>
      </c>
      <c r="C19" s="37" t="n">
        <f aca="false">COUNTIF(C7:G13,"&lt;1")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1" t="s">
        <v>339</v>
      </c>
    </row>
    <row r="2" customFormat="false" ht="15" hidden="false" customHeight="false" outlineLevel="0" collapsed="false">
      <c r="A2" s="2" t="s">
        <v>340</v>
      </c>
    </row>
    <row r="4" customFormat="false" ht="15" hidden="false" customHeight="false" outlineLevel="0" collapsed="false">
      <c r="A4" s="20" t="s">
        <v>341</v>
      </c>
      <c r="B4" s="20" t="s">
        <v>342</v>
      </c>
      <c r="C4" s="21" t="s">
        <v>343</v>
      </c>
      <c r="D4" s="21" t="s">
        <v>344</v>
      </c>
      <c r="E4" s="21" t="s">
        <v>345</v>
      </c>
      <c r="F4" s="21" t="s">
        <v>346</v>
      </c>
    </row>
    <row r="5" customFormat="false" ht="30" hidden="false" customHeight="true" outlineLevel="0" collapsed="false">
      <c r="A5" s="44" t="s">
        <v>347</v>
      </c>
      <c r="B5" s="2" t="s">
        <v>348</v>
      </c>
      <c r="C5" s="24" t="n">
        <v>2600</v>
      </c>
      <c r="D5" s="23" t="n">
        <v>0.4</v>
      </c>
      <c r="E5" s="32" t="n">
        <f aca="false">C5*(1-D5)</f>
        <v>1560</v>
      </c>
      <c r="F5" s="45" t="s">
        <v>349</v>
      </c>
    </row>
    <row r="6" customFormat="false" ht="30" hidden="false" customHeight="true" outlineLevel="0" collapsed="false">
      <c r="A6" s="44" t="s">
        <v>350</v>
      </c>
      <c r="B6" s="2" t="s">
        <v>351</v>
      </c>
      <c r="C6" s="24" t="n">
        <v>3200</v>
      </c>
      <c r="D6" s="23" t="n">
        <v>0.55</v>
      </c>
      <c r="E6" s="32" t="n">
        <f aca="false">C6*(1-D6)</f>
        <v>1440</v>
      </c>
      <c r="F6" s="45" t="s">
        <v>352</v>
      </c>
    </row>
    <row r="7" customFormat="false" ht="30" hidden="false" customHeight="true" outlineLevel="0" collapsed="false">
      <c r="A7" s="44" t="s">
        <v>353</v>
      </c>
      <c r="B7" s="2" t="s">
        <v>354</v>
      </c>
      <c r="C7" s="24" t="n">
        <v>1000</v>
      </c>
      <c r="D7" s="23" t="n">
        <v>0.3</v>
      </c>
      <c r="E7" s="32" t="n">
        <f aca="false">C7*(1-D7)</f>
        <v>700</v>
      </c>
      <c r="F7" s="45" t="s">
        <v>355</v>
      </c>
    </row>
    <row r="8" customFormat="false" ht="30" hidden="false" customHeight="true" outlineLevel="0" collapsed="false">
      <c r="A8" s="44" t="s">
        <v>356</v>
      </c>
      <c r="B8" s="2" t="s">
        <v>357</v>
      </c>
      <c r="C8" s="24" t="n">
        <v>1200</v>
      </c>
      <c r="D8" s="23" t="n">
        <v>0.5</v>
      </c>
      <c r="E8" s="32" t="n">
        <f aca="false">C8*(1-D8)</f>
        <v>600</v>
      </c>
      <c r="F8" s="45" t="s">
        <v>358</v>
      </c>
    </row>
    <row r="9" customFormat="false" ht="30" hidden="false" customHeight="true" outlineLevel="0" collapsed="false">
      <c r="A9" s="44" t="s">
        <v>359</v>
      </c>
      <c r="B9" s="2" t="s">
        <v>360</v>
      </c>
      <c r="C9" s="14" t="n">
        <f aca="false">Debt_Schedule!C27</f>
        <v>278.0125</v>
      </c>
      <c r="D9" s="23" t="n">
        <v>0</v>
      </c>
      <c r="E9" s="32" t="n">
        <f aca="false">C9*(1-D9)</f>
        <v>278.0125</v>
      </c>
      <c r="F9" s="45" t="s">
        <v>361</v>
      </c>
    </row>
    <row r="10" customFormat="false" ht="15" hidden="false" customHeight="false" outlineLevel="0" collapsed="false">
      <c r="A10" s="9" t="s">
        <v>362</v>
      </c>
      <c r="B10" s="2" t="s">
        <v>363</v>
      </c>
      <c r="C10" s="32" t="n">
        <v>0</v>
      </c>
      <c r="E10" s="32" t="n">
        <v>0</v>
      </c>
    </row>
    <row r="11" customFormat="false" ht="15" hidden="false" customHeight="false" outlineLevel="0" collapsed="false">
      <c r="A11" s="28" t="s">
        <v>364</v>
      </c>
      <c r="B11" s="29"/>
      <c r="C11" s="30" t="n">
        <f aca="false">SUM(C5:C10)</f>
        <v>8278.0125</v>
      </c>
      <c r="D11" s="46" t="n">
        <f aca="false">1-E11/C11</f>
        <v>0.446967191702115</v>
      </c>
      <c r="E11" s="30" t="n">
        <f aca="false">SUM(E5:E10)</f>
        <v>4578.0125</v>
      </c>
      <c r="F11" s="29"/>
    </row>
    <row r="13" customFormat="false" ht="15" hidden="false" customHeight="false" outlineLevel="0" collapsed="false">
      <c r="A13" s="12" t="s">
        <v>365</v>
      </c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6" t="s">
        <v>366</v>
      </c>
      <c r="C14" s="31" t="n">
        <f aca="false">Assumptions!$C$12+Assumptions!$C$17</f>
        <v>3300</v>
      </c>
    </row>
    <row r="15" customFormat="false" ht="15" hidden="false" customHeight="false" outlineLevel="0" collapsed="false">
      <c r="A15" s="6" t="s">
        <v>39</v>
      </c>
      <c r="B15" s="2" t="s">
        <v>367</v>
      </c>
      <c r="C15" s="47" t="n">
        <f aca="false">C14/C11</f>
        <v>0.398646414220805</v>
      </c>
    </row>
    <row r="16" customFormat="false" ht="15" hidden="false" customHeight="false" outlineLevel="0" collapsed="false">
      <c r="A16" s="6" t="s">
        <v>368</v>
      </c>
      <c r="B16" s="2" t="s">
        <v>369</v>
      </c>
      <c r="C16" s="47" t="n">
        <f aca="false">C14/E11</f>
        <v>0.720836826024394</v>
      </c>
    </row>
    <row r="17" customFormat="false" ht="15" hidden="false" customHeight="false" outlineLevel="0" collapsed="false">
      <c r="A17" s="6" t="s">
        <v>370</v>
      </c>
      <c r="C17" s="22" t="n">
        <f aca="false">E11/C14</f>
        <v>1.38727651515152</v>
      </c>
    </row>
    <row r="18" customFormat="false" ht="15" hidden="false" customHeight="false" outlineLevel="0" collapsed="false">
      <c r="A18" s="9" t="s">
        <v>371</v>
      </c>
      <c r="C18" s="33" t="n">
        <f aca="false">Assumptions!$C$12/(C5+C6)</f>
        <v>0.413793103448276</v>
      </c>
    </row>
    <row r="19" customFormat="false" ht="15" hidden="false" customHeight="false" outlineLevel="0" collapsed="false">
      <c r="A19" s="9" t="s">
        <v>372</v>
      </c>
      <c r="C19" s="33" t="n">
        <f aca="false">Assumptions!$C$12/(E5+E6)</f>
        <v>0.8</v>
      </c>
    </row>
    <row r="20" customFormat="false" ht="15" hidden="false" customHeight="false" outlineLevel="0" collapsed="false">
      <c r="A20" s="9" t="s">
        <v>373</v>
      </c>
      <c r="C20" s="32" t="n">
        <f aca="false">E7+E8</f>
        <v>1300</v>
      </c>
    </row>
    <row r="21" customFormat="false" ht="15" hidden="false" customHeight="false" outlineLevel="0" collapsed="false">
      <c r="A21" s="9" t="s">
        <v>374</v>
      </c>
      <c r="C21" s="35" t="n">
        <f aca="false">C20/Assumptions!$C$17</f>
        <v>1.44444444444444</v>
      </c>
    </row>
    <row r="23" customFormat="false" ht="15" hidden="false" customHeight="false" outlineLevel="0" collapsed="false">
      <c r="A23" s="12" t="s">
        <v>375</v>
      </c>
      <c r="B23" s="13"/>
      <c r="C23" s="13"/>
      <c r="D23" s="13"/>
      <c r="E23" s="13"/>
      <c r="F23" s="13"/>
    </row>
    <row r="24" customFormat="false" ht="15" hidden="false" customHeight="false" outlineLevel="0" collapsed="false">
      <c r="A24" s="9" t="s">
        <v>376</v>
      </c>
      <c r="C24" s="32" t="n">
        <f aca="false">E11-E5*0.3-E6*0.2</f>
        <v>3822.0125</v>
      </c>
    </row>
    <row r="25" customFormat="false" ht="15" hidden="false" customHeight="false" outlineLevel="0" collapsed="false">
      <c r="A25" s="9" t="s">
        <v>377</v>
      </c>
      <c r="C25" s="35" t="n">
        <f aca="false">C24/C14</f>
        <v>1.15818560606061</v>
      </c>
    </row>
    <row r="26" customFormat="false" ht="15" hidden="false" customHeight="false" outlineLevel="0" collapsed="false">
      <c r="A26" s="9" t="s">
        <v>378</v>
      </c>
      <c r="C26" s="33" t="n">
        <f aca="false">C14/C24</f>
        <v>0.86341946814669</v>
      </c>
    </row>
    <row r="27" customFormat="false" ht="15" hidden="false" customHeight="false" outlineLevel="0" collapsed="false">
      <c r="A27" s="9" t="s">
        <v>379</v>
      </c>
      <c r="C27" s="23" t="n">
        <v>0.85</v>
      </c>
    </row>
    <row r="28" customFormat="false" ht="15" hidden="false" customHeight="false" outlineLevel="0" collapsed="false">
      <c r="A28" s="9" t="s">
        <v>380</v>
      </c>
      <c r="C28" s="41" t="str">
        <f aca="false">IF(C16&lt;=C27,"YES","NO")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11" t="s">
        <v>381</v>
      </c>
    </row>
    <row r="2" customFormat="false" ht="15" hidden="false" customHeight="false" outlineLevel="0" collapsed="false">
      <c r="A2" s="2" t="s">
        <v>382</v>
      </c>
    </row>
    <row r="4" customFormat="false" ht="15" hidden="false" customHeight="false" outlineLevel="0" collapsed="false">
      <c r="A4" s="20" t="s">
        <v>383</v>
      </c>
      <c r="B4" s="20" t="s">
        <v>384</v>
      </c>
      <c r="C4" s="21" t="s">
        <v>385</v>
      </c>
      <c r="D4" s="21" t="s">
        <v>386</v>
      </c>
      <c r="E4" s="21" t="s">
        <v>387</v>
      </c>
      <c r="F4" s="21" t="s">
        <v>388</v>
      </c>
    </row>
    <row r="5" customFormat="false" ht="15" hidden="false" customHeight="false" outlineLevel="0" collapsed="false">
      <c r="A5" s="12" t="s">
        <v>389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9" t="s">
        <v>390</v>
      </c>
      <c r="B6" s="23" t="n">
        <v>0.15</v>
      </c>
      <c r="C6" s="15" t="n">
        <f aca="false">Projections!I30</f>
        <v>1.77358129206421</v>
      </c>
      <c r="D6" s="37" t="n">
        <f aca="false">IF(C6&gt;=2,9,IF(C6&gt;=1.75,8,IF(C6&gt;=1.5,7,IF(C6&gt;=1.25,5,IF(C6&gt;=1.1,3,1)))))</f>
        <v>8</v>
      </c>
      <c r="E6" s="48" t="n">
        <f aca="false">B6*D6</f>
        <v>1.2</v>
      </c>
      <c r="F6" s="45" t="s">
        <v>391</v>
      </c>
    </row>
    <row r="7" customFormat="false" ht="15" hidden="false" customHeight="false" outlineLevel="0" collapsed="false">
      <c r="A7" s="9" t="s">
        <v>392</v>
      </c>
      <c r="B7" s="23" t="n">
        <v>0.1</v>
      </c>
      <c r="C7" s="15" t="n">
        <f aca="false">Projections!I55</f>
        <v>1.27152497433901</v>
      </c>
      <c r="D7" s="37" t="n">
        <f aca="false">IF(C7&gt;=1.5,9,IF(C7&gt;=1.3,7,IF(C7&gt;=1.15,5,IF(C7&gt;=1,3,1))))</f>
        <v>5</v>
      </c>
      <c r="E7" s="48" t="n">
        <f aca="false">B7*D7</f>
        <v>0.5</v>
      </c>
      <c r="F7" s="45" t="s">
        <v>393</v>
      </c>
    </row>
    <row r="8" customFormat="false" ht="15" hidden="false" customHeight="false" outlineLevel="0" collapsed="false">
      <c r="A8" s="9" t="s">
        <v>38</v>
      </c>
      <c r="B8" s="23" t="n">
        <v>0.1</v>
      </c>
      <c r="C8" s="15" t="n">
        <f aca="false">Debt_Schedule!C26/Projections!C10</f>
        <v>1.72543890537753</v>
      </c>
      <c r="D8" s="37" t="n">
        <f aca="false">IF(C8&lt;=1.5,9,IF(C8&lt;=2,8,IF(C8&lt;=2.5,7,IF(C8&lt;=3,5,IF(C8&lt;=4,3,1)))))</f>
        <v>8</v>
      </c>
      <c r="E8" s="48" t="n">
        <f aca="false">B8*D8</f>
        <v>0.8</v>
      </c>
      <c r="F8" s="45" t="s">
        <v>394</v>
      </c>
    </row>
    <row r="9" customFormat="false" ht="15" hidden="false" customHeight="false" outlineLevel="0" collapsed="false">
      <c r="A9" s="9" t="s">
        <v>395</v>
      </c>
      <c r="B9" s="23" t="n">
        <v>0.1</v>
      </c>
      <c r="C9" s="16" t="n">
        <f aca="false">Ratios!F7</f>
        <v>0.207674943566591</v>
      </c>
      <c r="D9" s="37" t="n">
        <f aca="false">IF(C9&gt;=0.25,9,IF(C9&gt;=0.2,8,IF(C9&gt;=0.15,7,IF(C9&gt;=0.1,5,3))))</f>
        <v>8</v>
      </c>
      <c r="E9" s="48" t="n">
        <f aca="false">B9*D9</f>
        <v>0.8</v>
      </c>
      <c r="F9" s="45" t="s">
        <v>396</v>
      </c>
    </row>
    <row r="10" customFormat="false" ht="15" hidden="false" customHeight="false" outlineLevel="0" collapsed="false">
      <c r="A10" s="9" t="s">
        <v>397</v>
      </c>
      <c r="B10" s="23" t="n">
        <v>0.05</v>
      </c>
      <c r="C10" s="15" t="n">
        <f aca="false">Ratios!F12</f>
        <v>2.27704485488127</v>
      </c>
      <c r="D10" s="37" t="n">
        <f aca="false">IF(C10&gt;=2,9,IF(C10&gt;=1.5,7,IF(C10&gt;=1.2,5,3)))</f>
        <v>9</v>
      </c>
      <c r="E10" s="48" t="n">
        <f aca="false">B10*D10</f>
        <v>0.45</v>
      </c>
      <c r="F10" s="45" t="s">
        <v>398</v>
      </c>
    </row>
    <row r="11" customFormat="false" ht="15" hidden="false" customHeight="false" outlineLevel="0" collapsed="false">
      <c r="A11" s="12" t="s">
        <v>399</v>
      </c>
      <c r="B11" s="13"/>
      <c r="C11" s="13"/>
      <c r="D11" s="13"/>
      <c r="E11" s="13"/>
      <c r="F11" s="13"/>
    </row>
    <row r="12" customFormat="false" ht="23.85" hidden="false" customHeight="false" outlineLevel="0" collapsed="false">
      <c r="A12" s="9" t="s">
        <v>400</v>
      </c>
      <c r="B12" s="23" t="n">
        <v>0.05</v>
      </c>
      <c r="D12" s="26" t="n">
        <v>7</v>
      </c>
      <c r="E12" s="48" t="n">
        <f aca="false">B12*D12</f>
        <v>0.35</v>
      </c>
      <c r="F12" s="45" t="s">
        <v>401</v>
      </c>
    </row>
    <row r="13" customFormat="false" ht="15" hidden="false" customHeight="false" outlineLevel="0" collapsed="false">
      <c r="A13" s="9" t="s">
        <v>402</v>
      </c>
      <c r="B13" s="23" t="n">
        <v>0.1</v>
      </c>
      <c r="D13" s="26" t="n">
        <v>7</v>
      </c>
      <c r="E13" s="48" t="n">
        <f aca="false">B13*D13</f>
        <v>0.7</v>
      </c>
      <c r="F13" s="45" t="s">
        <v>403</v>
      </c>
    </row>
    <row r="14" customFormat="false" ht="23.85" hidden="false" customHeight="false" outlineLevel="0" collapsed="false">
      <c r="A14" s="9" t="s">
        <v>404</v>
      </c>
      <c r="B14" s="23" t="n">
        <v>0.1</v>
      </c>
      <c r="D14" s="26" t="n">
        <v>6</v>
      </c>
      <c r="E14" s="48" t="n">
        <f aca="false">B14*D14</f>
        <v>0.6</v>
      </c>
      <c r="F14" s="45" t="s">
        <v>405</v>
      </c>
    </row>
    <row r="15" customFormat="false" ht="15" hidden="false" customHeight="false" outlineLevel="0" collapsed="false">
      <c r="A15" s="12" t="s">
        <v>406</v>
      </c>
      <c r="B15" s="13"/>
      <c r="C15" s="13"/>
      <c r="D15" s="13"/>
      <c r="E15" s="13"/>
      <c r="F15" s="13"/>
    </row>
    <row r="16" customFormat="false" ht="23.85" hidden="false" customHeight="false" outlineLevel="0" collapsed="false">
      <c r="A16" s="9" t="s">
        <v>407</v>
      </c>
      <c r="B16" s="23" t="n">
        <v>0.1</v>
      </c>
      <c r="D16" s="26" t="n">
        <v>3</v>
      </c>
      <c r="E16" s="48" t="n">
        <f aca="false">B16*D16</f>
        <v>0.3</v>
      </c>
      <c r="F16" s="45" t="s">
        <v>408</v>
      </c>
    </row>
    <row r="17" customFormat="false" ht="23.85" hidden="false" customHeight="false" outlineLevel="0" collapsed="false">
      <c r="A17" s="9" t="s">
        <v>409</v>
      </c>
      <c r="B17" s="23" t="n">
        <v>0.05</v>
      </c>
      <c r="D17" s="26" t="n">
        <v>5</v>
      </c>
      <c r="E17" s="48" t="n">
        <f aca="false">B17*D17</f>
        <v>0.25</v>
      </c>
      <c r="F17" s="45" t="s">
        <v>410</v>
      </c>
    </row>
    <row r="18" customFormat="false" ht="15" hidden="false" customHeight="false" outlineLevel="0" collapsed="false">
      <c r="A18" s="12" t="s">
        <v>411</v>
      </c>
      <c r="B18" s="13"/>
      <c r="C18" s="13"/>
      <c r="D18" s="13"/>
      <c r="E18" s="13"/>
      <c r="F18" s="13"/>
    </row>
    <row r="19" customFormat="false" ht="15" hidden="false" customHeight="false" outlineLevel="0" collapsed="false">
      <c r="A19" s="9" t="s">
        <v>370</v>
      </c>
      <c r="B19" s="23" t="n">
        <v>0.05</v>
      </c>
      <c r="C19" s="15" t="n">
        <f aca="false">Collateral!C17</f>
        <v>1.38727651515152</v>
      </c>
      <c r="D19" s="37" t="n">
        <f aca="false">IF(C19&gt;=1.5,9,IF(C19&gt;=1.25,7,IF(C19&gt;=1,5,2)))</f>
        <v>7</v>
      </c>
      <c r="E19" s="48" t="n">
        <f aca="false">B19*D19</f>
        <v>0.35</v>
      </c>
      <c r="F19" s="45" t="s">
        <v>412</v>
      </c>
    </row>
    <row r="20" customFormat="false" ht="15" hidden="false" customHeight="false" outlineLevel="0" collapsed="false">
      <c r="A20" s="9" t="s">
        <v>413</v>
      </c>
      <c r="B20" s="23" t="n">
        <v>0.05</v>
      </c>
      <c r="D20" s="26" t="n">
        <v>4</v>
      </c>
      <c r="E20" s="48" t="n">
        <f aca="false">B20*D20</f>
        <v>0.2</v>
      </c>
      <c r="F20" s="45" t="s">
        <v>414</v>
      </c>
    </row>
    <row r="22" customFormat="false" ht="15" hidden="false" customHeight="false" outlineLevel="0" collapsed="false">
      <c r="A22" s="28" t="s">
        <v>415</v>
      </c>
      <c r="B22" s="46" t="n">
        <f aca="false">B6+B7+B8+B9+B10+B12+B13+B14+B16+B17+B19+B20</f>
        <v>1</v>
      </c>
      <c r="C22" s="29"/>
      <c r="D22" s="29"/>
      <c r="E22" s="49" t="n">
        <f aca="false">E6+E7+E8+E9+E10+E12+E13+E14+E16+E17+E19+E20</f>
        <v>6.5</v>
      </c>
      <c r="F22" s="29"/>
    </row>
    <row r="24" customFormat="false" ht="15" hidden="false" customHeight="false" outlineLevel="0" collapsed="false">
      <c r="A24" s="12" t="s">
        <v>416</v>
      </c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9" t="s">
        <v>417</v>
      </c>
      <c r="C25" s="50" t="n">
        <f aca="false">IF(E22&gt;=8,2,IF(E22&gt;=7,3,IF(E22&gt;=6,4,IF(E22&gt;=5,5,IF(E22&gt;=4,6,7)))))</f>
        <v>4</v>
      </c>
    </row>
    <row r="26" customFormat="false" ht="15" hidden="false" customHeight="false" outlineLevel="0" collapsed="false">
      <c r="A26" s="9" t="s">
        <v>418</v>
      </c>
      <c r="C26" s="51" t="n">
        <v>4</v>
      </c>
    </row>
    <row r="27" customFormat="false" ht="15" hidden="false" customHeight="false" outlineLevel="0" collapsed="false">
      <c r="A27" s="6" t="s">
        <v>419</v>
      </c>
      <c r="C27" s="52" t="n">
        <f aca="false">MAX(C25,C26)</f>
        <v>4</v>
      </c>
    </row>
    <row r="28" customFormat="false" ht="15" hidden="false" customHeight="false" outlineLevel="0" collapsed="false">
      <c r="A28" s="9" t="s">
        <v>420</v>
      </c>
      <c r="C28" s="41" t="str">
        <f aca="false">CHOOSE(C27,"Exceptional","Strong","Good","Satisfactory","Acceptable","Watch","Substandard")</f>
        <v>Satisfactory</v>
      </c>
    </row>
    <row r="29" customFormat="false" ht="15" hidden="false" customHeight="false" outlineLevel="0" collapsed="false">
      <c r="A29" s="9" t="s">
        <v>421</v>
      </c>
      <c r="C29" s="53" t="n">
        <f aca="false">CHOOSE(C27,0.0005,0.002,0.006,0.015,0.035,0.08,0.18)</f>
        <v>0.015</v>
      </c>
    </row>
    <row r="31" customFormat="false" ht="15" hidden="false" customHeight="false" outlineLevel="0" collapsed="false">
      <c r="A31" s="2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1" t="s">
        <v>423</v>
      </c>
    </row>
    <row r="2" customFormat="false" ht="15" hidden="false" customHeight="false" outlineLevel="0" collapsed="false">
      <c r="A2" s="2" t="s">
        <v>424</v>
      </c>
    </row>
    <row r="4" customFormat="false" ht="15" hidden="false" customHeight="false" outlineLevel="0" collapsed="false">
      <c r="A4" s="20" t="s">
        <v>425</v>
      </c>
      <c r="B4" s="20" t="s">
        <v>426</v>
      </c>
      <c r="C4" s="21" t="s">
        <v>427</v>
      </c>
    </row>
    <row r="5" customFormat="false" ht="15" hidden="false" customHeight="false" outlineLevel="0" collapsed="false">
      <c r="A5" s="9" t="s">
        <v>428</v>
      </c>
      <c r="B5" s="54" t="n">
        <f aca="false">ABS(BS!C26)+ABS(BS!D26)+ABS(BS!E26)+ABS(BS!F26)</f>
        <v>0</v>
      </c>
      <c r="C5" s="55" t="str">
        <f aca="false">IF(B5&lt;0.001,"PASS","FAIL")</f>
        <v>PASS</v>
      </c>
    </row>
    <row r="6" customFormat="false" ht="15" hidden="false" customHeight="false" outlineLevel="0" collapsed="false">
      <c r="A6" s="9" t="s">
        <v>429</v>
      </c>
      <c r="B6" s="54" t="n">
        <f aca="false">ABS(CF!D29)+ABS(CF!E29)+ABS(CF!F29)</f>
        <v>0</v>
      </c>
      <c r="C6" s="55" t="str">
        <f aca="false">IF(B6&lt;0.001,"PASS","FAIL")</f>
        <v>PASS</v>
      </c>
    </row>
    <row r="7" customFormat="false" ht="15" hidden="false" customHeight="false" outlineLevel="0" collapsed="false">
      <c r="A7" s="9" t="s">
        <v>430</v>
      </c>
      <c r="B7" s="54" t="n">
        <f aca="false">BS!F22-BS!C22-SUM(IS!D19:F19)-SUM(IS!D20:F20)</f>
        <v>0</v>
      </c>
      <c r="C7" s="55" t="str">
        <f aca="false">IF(ABS(B7)&lt;0.001,"PASS","FAIL")</f>
        <v>PASS</v>
      </c>
    </row>
    <row r="8" customFormat="false" ht="15" hidden="false" customHeight="false" outlineLevel="0" collapsed="false">
      <c r="A8" s="9" t="s">
        <v>431</v>
      </c>
      <c r="B8" s="54" t="n">
        <f aca="false">Debt_Schedule!H10</f>
        <v>0</v>
      </c>
      <c r="C8" s="55" t="str">
        <f aca="false">IF(ABS(B8)&lt;0.001,"PASS","FAIL")</f>
        <v>PASS</v>
      </c>
    </row>
    <row r="9" customFormat="false" ht="15" hidden="false" customHeight="false" outlineLevel="0" collapsed="false">
      <c r="A9" s="9" t="s">
        <v>432</v>
      </c>
      <c r="B9" s="54" t="n">
        <f aca="false">SUM(Debt_Schedule!D9:H9)-Assumptions!$C$12</f>
        <v>0</v>
      </c>
      <c r="C9" s="55" t="str">
        <f aca="false">IF(ABS(B9)&lt;0.001,"PASS","FAIL")</f>
        <v>PASS</v>
      </c>
    </row>
    <row r="10" customFormat="false" ht="15" hidden="false" customHeight="false" outlineLevel="0" collapsed="false">
      <c r="A10" s="9" t="s">
        <v>433</v>
      </c>
      <c r="B10" s="54" t="n">
        <f aca="false">Sensitivity!C16-Sensitivity!C15</f>
        <v>0</v>
      </c>
      <c r="C10" s="55" t="str">
        <f aca="false">IF(ABS(B10)&lt;0.000001,"PASS","FAIL")</f>
        <v>PASS</v>
      </c>
    </row>
    <row r="11" customFormat="false" ht="15" hidden="false" customHeight="false" outlineLevel="0" collapsed="false">
      <c r="A11" s="9" t="s">
        <v>434</v>
      </c>
      <c r="B11" s="54" t="n">
        <f aca="false">Scorecard!B22</f>
        <v>1</v>
      </c>
      <c r="C11" s="55" t="str">
        <f aca="false">IF(ABS(B11-1)&lt;0.000001,"PASS","FAIL")</f>
        <v>PASS</v>
      </c>
    </row>
    <row r="12" customFormat="false" ht="15" hidden="false" customHeight="false" outlineLevel="0" collapsed="false">
      <c r="A12" s="9" t="s">
        <v>435</v>
      </c>
      <c r="B12" s="54" t="n">
        <f aca="false">Collateral!C11-Collateral!E11</f>
        <v>3700</v>
      </c>
      <c r="C12" s="55" t="str">
        <f aca="false">IF(B12&gt;=0,"PASS","FAIL")</f>
        <v>PASS</v>
      </c>
    </row>
    <row r="13" customFormat="false" ht="15" hidden="false" customHeight="false" outlineLevel="0" collapsed="false">
      <c r="A13" s="9" t="s">
        <v>436</v>
      </c>
      <c r="B13" s="54" t="n">
        <f aca="false">Projections!E30-Projections!I30</f>
        <v>0</v>
      </c>
      <c r="C13" s="55" t="str">
        <f aca="false">IF(ABS(B13)&lt;0.000001,"PASS","FAIL")</f>
        <v>PASS</v>
      </c>
    </row>
    <row r="14" customFormat="false" ht="15" hidden="false" customHeight="false" outlineLevel="0" collapsed="false">
      <c r="A14" s="9" t="s">
        <v>437</v>
      </c>
      <c r="B14" s="54" t="n">
        <f aca="false">MIN(BS!C6:F6)</f>
        <v>287</v>
      </c>
      <c r="C14" s="55" t="str">
        <f aca="false">IF(B14&gt;0,"PASS","FAIL")</f>
        <v>PASS</v>
      </c>
    </row>
    <row r="16" customFormat="false" ht="15" hidden="false" customHeight="false" outlineLevel="0" collapsed="false">
      <c r="A16" s="6" t="s">
        <v>438</v>
      </c>
      <c r="C16" s="55" t="str">
        <f aca="false">IF(COUNTIF(C5:C14,"PASS")=10,"ALL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2026-10-13T17:13:13Z</dcterms:created>
  <dc:creator>openpyxl</dc:creator>
  <dc:description/>
  <dc:language>en-US</dc:language>
  <cp:lastModifiedBy/>
  <dcterms:modified xsi:type="dcterms:W3CDTF">2026-10-13T17:13:13Z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